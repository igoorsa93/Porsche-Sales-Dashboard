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r Cardoso\Downloads\"/>
    </mc:Choice>
  </mc:AlternateContent>
  <xr:revisionPtr revIDLastSave="0" documentId="13_ncr:1_{F6E997C1-19A2-47C5-93B6-E5DC1B338886}" xr6:coauthVersionLast="47" xr6:coauthVersionMax="47" xr10:uidLastSave="{00000000-0000-0000-0000-000000000000}"/>
  <bookViews>
    <workbookView xWindow="-108" yWindow="-108" windowWidth="23256" windowHeight="13176" tabRatio="691" xr2:uid="{00000000-000D-0000-FFFF-FFFF00000000}"/>
  </bookViews>
  <sheets>
    <sheet name="Cover" sheetId="1" r:id="rId1"/>
    <sheet name="Dados Tratados" sheetId="2" r:id="rId2"/>
    <sheet name="Análise por Cidade" sheetId="3" r:id="rId3"/>
    <sheet name="Análise por Ano" sheetId="4" r:id="rId4"/>
    <sheet name="Análise por Modelo" sheetId="5" r:id="rId5"/>
    <sheet name="Status de Entrega" sheetId="6" r:id="rId6"/>
    <sheet name="Resumo Executivo" sheetId="7" r:id="rId7"/>
    <sheet name="_ChartDa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6" l="1"/>
  <c r="E14" i="6"/>
  <c r="E13" i="6"/>
  <c r="E12" i="6"/>
  <c r="E11" i="6"/>
  <c r="E10" i="6"/>
  <c r="E9" i="6"/>
  <c r="E8" i="6"/>
  <c r="E7" i="6"/>
  <c r="E6" i="6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F12" i="4"/>
  <c r="F11" i="4"/>
  <c r="F10" i="4"/>
  <c r="F9" i="4"/>
  <c r="F8" i="4"/>
  <c r="F7" i="4"/>
</calcChain>
</file>

<file path=xl/sharedStrings.xml><?xml version="1.0" encoding="utf-8"?>
<sst xmlns="http://schemas.openxmlformats.org/spreadsheetml/2006/main" count="1293" uniqueCount="484">
  <si>
    <t>PORSCHE SALES ANALYTICS</t>
  </si>
  <si>
    <t>Relatório de Tratamento e Análise de Dados de Vendas</t>
  </si>
  <si>
    <t>MÉTRICAS PRINCIPAIS</t>
  </si>
  <si>
    <t>Receita Total</t>
  </si>
  <si>
    <t>$12,827,800.50</t>
  </si>
  <si>
    <t>Total de Vendas</t>
  </si>
  <si>
    <t>100 unidades</t>
  </si>
  <si>
    <t>Preço Médio</t>
  </si>
  <si>
    <t>$128,278.01</t>
  </si>
  <si>
    <t>Modelo Líder</t>
  </si>
  <si>
    <t>Cayenne Coupe (4 vendas)</t>
  </si>
  <si>
    <t>Cidade Top</t>
  </si>
  <si>
    <t>Atlanta</t>
  </si>
  <si>
    <t>Ano Mais Forte</t>
  </si>
  <si>
    <t>2024 (29 vendas)</t>
  </si>
  <si>
    <t>ÍNDICE DE ABAS</t>
  </si>
  <si>
    <t>Dados Tratados</t>
  </si>
  <si>
    <t>Base completa com 100 registros limpos e padronizados</t>
  </si>
  <si>
    <t>Análise por Cidade</t>
  </si>
  <si>
    <t>Vendas, receita e modelo líder por cidade (79 cidades)</t>
  </si>
  <si>
    <t>Análise por Ano</t>
  </si>
  <si>
    <t>Tendência de vendas e receita por ano (2020-2026)</t>
  </si>
  <si>
    <t>Análise por Modelo</t>
  </si>
  <si>
    <t>Ranking de 40 modelos com share de mercado</t>
  </si>
  <si>
    <t>Status de Entrega</t>
  </si>
  <si>
    <t>Distribuição dos 10 status de entrega diferentes</t>
  </si>
  <si>
    <t>Resumo Executivo</t>
  </si>
  <si>
    <t>Dashboard com KPIs e gráficos de performance</t>
  </si>
  <si>
    <t>Nota: Dados referentes a vendas de veículos Porsche nos Estados Unidos | Período: 2020-2026</t>
  </si>
  <si>
    <t>PORSCHE SALES DATA - DADOS TRATADOS</t>
  </si>
  <si>
    <t>Registros: 100 vendas | Período: 2022-2026 | Receita Total: $12,827,800.50</t>
  </si>
  <si>
    <t>ID Venda</t>
  </si>
  <si>
    <t>Data</t>
  </si>
  <si>
    <t>Cliente</t>
  </si>
  <si>
    <t>Modelo</t>
  </si>
  <si>
    <t>Ano</t>
  </si>
  <si>
    <t>Preço Venda</t>
  </si>
  <si>
    <t>Quilometragem</t>
  </si>
  <si>
    <t>Forma Pagamento</t>
  </si>
  <si>
    <t>Cidade</t>
  </si>
  <si>
    <t>Estado</t>
  </si>
  <si>
    <t>País</t>
  </si>
  <si>
    <t>Vendedor</t>
  </si>
  <si>
    <t>Status Entrega</t>
  </si>
  <si>
    <t>INVALID</t>
  </si>
  <si>
    <t>Michael Adams</t>
  </si>
  <si>
    <t>718 Cayman</t>
  </si>
  <si>
    <t>Credit Card</t>
  </si>
  <si>
    <t>Boston</t>
  </si>
  <si>
    <t>MA</t>
  </si>
  <si>
    <t>United States</t>
  </si>
  <si>
    <t>Kevin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</si>
  <si>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</si>
  <si>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</si>
  <si>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</si>
  <si>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</si>
  <si>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</si>
  <si>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</si>
  <si>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</si>
  <si>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</si>
  <si>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</si>
  <si>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</si>
  <si>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</si>
  <si>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</si>
  <si>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</si>
  <si>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</si>
  <si>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</si>
  <si>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</si>
  <si>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</si>
  <si>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</si>
  <si>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</si>
  <si>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</si>
  <si>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</si>
  <si>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</si>
  <si>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</si>
  <si>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</si>
  <si>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</si>
  <si>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</si>
  <si>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</si>
  <si>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</si>
  <si>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</si>
  <si>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</si>
  <si>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</si>
  <si>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</si>
  <si>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</si>
  <si>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</si>
  <si>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</si>
  <si>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</si>
  <si>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</si>
  <si>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</si>
  <si>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</si>
  <si>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</si>
  <si>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</si>
  <si>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</si>
  <si>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</si>
  <si>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</si>
  <si>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</si>
  <si>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</si>
  <si>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</si>
  <si>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</si>
  <si>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</si>
  <si>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</si>
  <si>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</si>
  <si>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</si>
  <si>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</si>
  <si>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</si>
  <si>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</si>
  <si>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</si>
  <si>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</si>
  <si>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</si>
  <si>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</si>
  <si>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</si>
  <si>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</si>
  <si>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</si>
  <si>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</si>
  <si>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</si>
  <si>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</si>
  <si>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</si>
  <si>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</si>
  <si>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</si>
  <si>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</si>
  <si>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</si>
  <si>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</si>
  <si>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</si>
  <si>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</si>
  <si>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</si>
  <si>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</si>
  <si>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</si>
  <si>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</si>
  <si>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</si>
  <si>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</si>
  <si>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</si>
  <si>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</si>
  <si>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</si>
  <si>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</si>
  <si>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</si>
  <si>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</si>
  <si>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</si>
  <si>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</si>
  <si>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</si>
  <si>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</si>
  <si>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</si>
  <si>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</si>
  <si>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</si>
  <si>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</si>
  <si>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</si>
  <si>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</si>
  <si>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</si>
  <si>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</si>
  <si>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</si>
  <si>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</si>
  <si>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</si>
  <si>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</si>
  <si>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</si>
  <si>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</si>
  <si>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</si>
  <si>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</si>
  <si>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</si>
  <si>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</si>
  <si>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</si>
  <si>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</si>
  <si>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</si>
  <si>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</si>
  <si>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</si>
  <si>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</si>
  <si>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</si>
  <si>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</si>
  <si>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</si>
  <si>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</si>
  <si>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</si>
  <si>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</si>
  <si>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</si>
  <si>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</si>
  <si>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</si>
  <si>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</si>
  <si>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</si>
  <si>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</si>
  <si>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</si>
  <si>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</si>
  <si>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</si>
  <si>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</si>
  <si>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</si>
  <si>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</si>
  <si>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</si>
  <si>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</si>
  <si>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</si>
  <si>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</si>
  <si>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</si>
  <si>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</si>
  <si>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</si>
  <si>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</si>
  <si>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</si>
  <si>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</si>
  <si>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</si>
  <si>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</si>
  <si>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</si>
  <si>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</si>
  <si>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</si>
  <si>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</si>
  <si>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</si>
  <si>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</si>
  <si>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</si>
  <si>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</si>
  <si>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</si>
  <si>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</si>
  <si>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</si>
  <si>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</si>
  <si>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</si>
  <si>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</si>
  <si>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</si>
  <si>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</si>
  <si>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</si>
  <si>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</si>
  <si>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</si>
  <si>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</si>
  <si>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</si>
  <si>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</si>
  <si>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</si>
  <si>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</si>
  <si>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</si>
  <si>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</si>
  <si>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</si>
  <si>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</si>
  <si>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</si>
  <si>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</si>
  <si>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</si>
  <si>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</si>
  <si>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</si>
  <si>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</si>
  <si>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</si>
  <si>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</si>
  <si>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</si>
  <si>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</si>
  <si>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</si>
  <si>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</si>
  <si>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</si>
  <si>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</si>
  <si>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</si>
  <si>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</si>
  <si>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</si>
  <si>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</si>
  <si>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</si>
  <si>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</si>
  <si>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</si>
  <si>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</si>
  <si>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</si>
  <si>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</si>
  <si>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</si>
  <si>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</si>
  <si>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</si>
  <si>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</si>
  <si>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</si>
  <si>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</si>
  <si>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</si>
  <si>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</si>
  <si>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</si>
  <si>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</si>
  <si>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</si>
  <si>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</si>
  <si>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</si>
  <si>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</si>
  <si>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</si>
  <si>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</si>
  <si>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</si>
  <si>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</si>
  <si>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</si>
  <si>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</si>
  <si>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</si>
  <si>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</si>
  <si>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</si>
  <si>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</si>
  <si>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</si>
  <si>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</si>
  <si>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</si>
  <si>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</si>
  <si>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</si>
  <si>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</si>
  <si>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</si>
  <si>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</si>
  <si>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</si>
  <si>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</si>
  <si>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</si>
  <si>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</si>
  <si>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</si>
  <si>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</si>
  <si>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</si>
  <si>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</si>
  <si>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</si>
  <si>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</si>
  <si>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</si>
  <si>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</si>
  <si>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</si>
  <si>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</si>
  <si>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</si>
  <si>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</si>
  <si>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</si>
  <si>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</si>
  <si>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</si>
  <si>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</si>
  <si>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</si>
  <si>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</si>
  <si>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</si>
  <si>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</si>
  <si>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</si>
  <si>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</si>
  <si>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</si>
  <si>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</si>
  <si>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</si>
  <si>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</si>
  <si>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</si>
  <si>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</si>
  <si>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</si>
  <si>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</si>
  <si>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</si>
  <si>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</si>
  <si>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</si>
  <si>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</si>
  <si>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</si>
  <si>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</si>
  <si>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</si>
  <si>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</si>
  <si>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</si>
  <si>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</si>
  <si>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</si>
  <si>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</si>
  <si>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</si>
  <si>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</si>
  <si>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</si>
  <si>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</si>
  <si>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</si>
  <si>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</si>
  <si>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</si>
  <si>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</si>
  <si>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</si>
  <si>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</si>
  <si>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</si>
  <si>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</si>
  <si>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</si>
  <si>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</si>
  <si>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</si>
  <si>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</si>
  <si>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</si>
  <si>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</si>
  <si>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</si>
  <si>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</si>
  <si>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</si>
  <si>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</si>
  <si>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</si>
  <si>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</si>
  <si>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</si>
  <si>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</si>
  <si>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</si>
  <si>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</si>
  <si>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</si>
  <si>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</si>
  <si>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</si>
  <si>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</si>
  <si>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</si>
  <si>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</si>
  <si>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</si>
  <si>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</si>
  <si>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</si>
  <si>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</si>
  <si>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</si>
  <si>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</si>
  <si>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</si>
  <si>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</si>
  <si>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</si>
  <si>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</si>
  <si>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</si>
  <si>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</si>
  <si>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</si>
  <si>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</si>
  <si>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</si>
  <si>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</si>
  <si>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</si>
  <si>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</si>
  <si>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</si>
  <si>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</si>
  <si>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</si>
  <si>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</si>
  <si>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</si>
  <si>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</si>
  <si>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</si>
  <si>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</si>
  <si>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</si>
  <si>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</si>
  <si>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</si>
  <si>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</si>
  <si>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</si>
  <si>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</si>
  <si>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</si>
  <si>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</si>
  <si>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</si>
  <si>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</si>
  <si>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</si>
  <si>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</si>
  <si>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</si>
  <si>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</si>
  <si>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</si>
  <si>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</si>
  <si>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</si>
  <si>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</si>
  <si>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</si>
  <si>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</si>
  <si>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</si>
  <si>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</si>
  <si>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</si>
  <si>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</si>
  <si>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</si>
  <si>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</si>
  <si>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</si>
  <si>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</si>
  <si>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</si>
  <si>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</si>
  <si>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</si>
  <si>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</si>
  <si>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</si>
  <si>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</si>
  <si>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</si>
  <si>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</si>
  <si>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</si>
  <si>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</si>
  <si>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</si>
  <si>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</si>
  <si>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</si>
  <si>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</si>
  <si>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</si>
  <si>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</si>
  <si>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</si>
  <si>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</si>
  <si>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</si>
  <si>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</si>
  <si>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</si>
  <si>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</si>
  <si>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</si>
  <si>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</si>
  <si>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</si>
  <si>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</si>
  <si>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</si>
  <si>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</si>
  <si>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</si>
  <si>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</si>
  <si>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</si>
  <si>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</si>
  <si>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</si>
  <si>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</si>
  <si>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</si>
  <si>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</si>
  <si>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</si>
  <si>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</si>
  <si>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</si>
  <si>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</si>
  <si>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</si>
  <si>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</si>
  <si>
    <t>ANÁLISE DE VENDAS POR CIDADE</t>
  </si>
  <si>
    <t>Ranking</t>
  </si>
  <si>
    <t>Total Vendas</t>
  </si>
  <si>
    <t>Receita</t>
  </si>
  <si>
    <t>Vendas</t>
  </si>
  <si>
    <t>ANÁLISE DE VENDAS POR ANO</t>
  </si>
  <si>
    <t>Variação Vendas (%)</t>
  </si>
  <si>
    <t>-</t>
  </si>
  <si>
    <t>ANÁLISE DE VENDAS POR MODELO - MODELO LÍDER</t>
  </si>
  <si>
    <t>Share (%)</t>
  </si>
  <si>
    <t>STATUS DE ENTREGA - DISTRIBUIÇÃO</t>
  </si>
  <si>
    <t>Percentual (%)</t>
  </si>
  <si>
    <t>Status</t>
  </si>
  <si>
    <t>Concluído</t>
  </si>
  <si>
    <t>Pendente</t>
  </si>
  <si>
    <t>Em Andamento</t>
  </si>
  <si>
    <t>Cancelado</t>
  </si>
  <si>
    <t>PORSCHE SALES - RESUMO EXECUTIVO</t>
  </si>
  <si>
    <t>Dashboard de Performance | 100 transações analisadas</t>
  </si>
  <si>
    <t>$12.83M</t>
  </si>
  <si>
    <t>$128,278</t>
  </si>
  <si>
    <t>4 vendas</t>
  </si>
  <si>
    <t>RECEITA TOTAL</t>
  </si>
  <si>
    <t>TOTAL DE VENDAS</t>
  </si>
  <si>
    <t>PREÇO MÉDIO</t>
  </si>
  <si>
    <t>MODELO LÍDER</t>
  </si>
  <si>
    <t>TOP 5 MODELOS POR RECEITA</t>
  </si>
  <si>
    <t>TOP 5 ESTADOS</t>
  </si>
  <si>
    <t>Cayenne E-Hybri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</si>
</sst>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\$#,##0.00"/>
    <numFmt numFmtId="165" formatCode="0.00\%"/>
    <numFmt numFmtId="166" formatCode="\$#,##0"/>
  </numFmts>
  <fonts count="29" x14ac:knownFonts="1">
    <font>
      <sz val="11"/>
      <color rgb="FF000000"/>
      <name val="Calibri"/>
      <family val="2"/>
      <charset val="1"/>
    </font>
    <font>
      <b/>
      <sz val="24"/>
      <color rgb="FF122B49"/>
      <name val="Calibri"/>
      <charset val="1"/>
    </font>
    <font>
      <sz val="14"/>
      <color rgb="FF666666"/>
      <name val="Calibri"/>
      <charset val="1"/>
    </font>
    <font>
      <b/>
      <sz val="13"/>
      <color rgb="FF122B49"/>
      <name val="Calibri"/>
      <charset val="1"/>
    </font>
    <font>
      <b/>
      <sz val="11"/>
      <color rgb="FF122B49"/>
      <name val="Calibri"/>
      <charset val="1"/>
    </font>
    <font>
      <sz val="11"/>
      <color rgb="FF000000"/>
      <name val="Calibri"/>
      <charset val="1"/>
    </font>
    <font>
      <b/>
      <sz val="11"/>
      <color rgb="FF274C77"/>
      <name val="Calibri"/>
      <charset val="1"/>
    </font>
    <font>
      <sz val="10"/>
      <color rgb="FF555555"/>
      <name val="Calibri"/>
      <charset val="1"/>
    </font>
    <font>
      <sz val="9"/>
      <color rgb="FF999999"/>
      <name val="Calibri"/>
      <charset val="1"/>
    </font>
    <font>
      <b/>
      <sz val="18"/>
      <color rgb="FF122B49"/>
      <name val="Calibri"/>
      <charset val="1"/>
    </font>
    <font>
      <sz val="11"/>
      <color rgb="FF666666"/>
      <name val="Calibri"/>
      <charset val="1"/>
    </font>
    <font>
      <b/>
      <sz val="11"/>
      <color rgb="FFFFFFFF"/>
      <name val="Calibri"/>
      <charset val="1"/>
    </font>
    <font>
      <sz val="11"/>
      <color rgb="FF0066CC"/>
      <name val="Calibri"/>
      <charset val="1"/>
    </font>
    <font>
      <b/>
      <sz val="9"/>
      <color rgb="FF999999"/>
      <name val="Cambria"/>
      <charset val="1"/>
    </font>
    <font>
      <sz val="9"/>
      <color rgb="FF999999"/>
      <name val="Cambria"/>
      <charset val="1"/>
    </font>
    <font>
      <b/>
      <sz val="10"/>
      <color rgb="FF2E7D32"/>
      <name val="Calibri"/>
      <charset val="1"/>
    </font>
    <font>
      <b/>
      <sz val="10"/>
      <color rgb="FFEF6C00"/>
      <name val="Calibri"/>
      <charset val="1"/>
    </font>
    <font>
      <b/>
      <sz val="10"/>
      <color rgb="FF1565C0"/>
      <name val="Calibri"/>
      <charset val="1"/>
    </font>
    <font>
      <b/>
      <sz val="10"/>
      <color rgb="FFC62828"/>
      <name val="Calibri"/>
      <charset val="1"/>
    </font>
    <font>
      <b/>
      <sz val="20"/>
      <color rgb="FF122B49"/>
      <name val="Calibri"/>
      <charset val="1"/>
    </font>
    <font>
      <sz val="12"/>
      <color rgb="FF666666"/>
      <name val="Calibri"/>
      <charset val="1"/>
    </font>
    <font>
      <b/>
      <sz val="20"/>
      <color rgb="FFFFFFFF"/>
      <name val="Calibri"/>
      <charset val="1"/>
    </font>
    <font>
      <b/>
      <sz val="14"/>
      <color rgb="FF122B49"/>
      <name val="Calibri"/>
      <charset val="1"/>
    </font>
    <font>
      <sz val="10"/>
      <color rgb="FF666666"/>
      <name val="Calibri"/>
      <charset val="1"/>
    </font>
    <font>
      <sz val="10"/>
      <color rgb="FFB0BEC5"/>
      <name val="Calibri"/>
      <charset val="1"/>
    </font>
    <font>
      <b/>
      <sz val="10"/>
      <color rgb="FF122B49"/>
      <name val="Calibri"/>
      <charset val="1"/>
    </font>
    <font>
      <b/>
      <sz val="9"/>
      <color rgb="FFFFFFFF"/>
      <name val="Calibri"/>
      <charset val="1"/>
    </font>
    <font>
      <sz val="10"/>
      <name val="Calibri"/>
      <charset val="1"/>
    </font>
    <font>
      <b/>
      <sz val="11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F5F5F5"/>
        <bgColor rgb="FFF9F9F9"/>
      </patternFill>
    </fill>
    <fill>
      <patternFill patternType="solid">
        <fgColor rgb="FF122B49"/>
        <bgColor rgb="FF003300"/>
      </patternFill>
    </fill>
    <fill>
      <patternFill patternType="solid">
        <fgColor rgb="FFF9F9F9"/>
        <bgColor rgb="FFF5F5F5"/>
      </patternFill>
    </fill>
    <fill>
      <patternFill patternType="solid">
        <fgColor rgb="FFFFF3E0"/>
        <bgColor rgb="FFF5F5F5"/>
      </patternFill>
    </fill>
    <fill>
      <patternFill patternType="solid">
        <fgColor rgb="FF274C77"/>
        <bgColor rgb="FF55555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4" fillId="3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0" fillId="0" borderId="0" xfId="0" applyFont="1"/>
    <xf numFmtId="0" fontId="1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3" borderId="0" xfId="0" applyFill="1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164" fontId="12" fillId="4" borderId="1" xfId="0" applyNumberFormat="1" applyFont="1" applyFill="1" applyBorder="1" applyAlignment="1">
      <alignment horizontal="center" vertical="center"/>
    </xf>
    <xf numFmtId="3" fontId="12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4" fontId="12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13" fillId="0" borderId="0" xfId="0" applyFont="1"/>
    <xf numFmtId="0" fontId="14" fillId="0" borderId="0" xfId="0" applyFont="1"/>
    <xf numFmtId="165" fontId="5" fillId="0" borderId="1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6" fillId="6" borderId="0" xfId="0" applyFont="1" applyFill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right" vertical="center"/>
    </xf>
    <xf numFmtId="0" fontId="27" fillId="0" borderId="0" xfId="0" applyFont="1" applyAlignment="1">
      <alignment horizontal="center" vertical="center"/>
    </xf>
    <xf numFmtId="0" fontId="27" fillId="4" borderId="0" xfId="0" applyFont="1" applyFill="1" applyAlignment="1">
      <alignment horizontal="left" vertical="center"/>
    </xf>
    <xf numFmtId="166" fontId="27" fillId="4" borderId="0" xfId="0" applyNumberFormat="1" applyFont="1" applyFill="1" applyAlignment="1">
      <alignment horizontal="right" vertical="center"/>
    </xf>
    <xf numFmtId="0" fontId="27" fillId="4" borderId="0" xfId="0" applyFont="1" applyFill="1" applyAlignment="1">
      <alignment horizontal="center" vertical="center"/>
    </xf>
    <xf numFmtId="0" fontId="28" fillId="0" borderId="0" xfId="0" applyFont="1"/>
    <xf numFmtId="0" fontId="24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DB7EA4-3676-4D0F-8AB3-51B2D98E8CF7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AA64F"/>
      <rgbColor rgb="FF800080"/>
      <rgbColor rgb="FF4672A8"/>
      <rgbColor rgb="FFB0BEC5"/>
      <rgbColor rgb="FF878787"/>
      <rgbColor rgb="FF93A9CE"/>
      <rgbColor rgb="FFAB4744"/>
      <rgbColor rgb="FFFFF3E0"/>
      <rgbColor rgb="FFF5F5F5"/>
      <rgbColor rgb="FF660066"/>
      <rgbColor rgb="FFDC853E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9F9F9"/>
      <rgbColor rgb="FFD9D9D9"/>
      <rgbColor rgb="FFFFFF99"/>
      <rgbColor rgb="FFB8CD97"/>
      <rgbColor rgb="FFD09493"/>
      <rgbColor rgb="FFA99BBD"/>
      <rgbColor rgb="FFFFCC99"/>
      <rgbColor rgb="FF1565C0"/>
      <rgbColor rgb="FF33CCCC"/>
      <rgbColor rgb="FF99CC00"/>
      <rgbColor rgb="FFFFCC00"/>
      <rgbColor rgb="FFFF9900"/>
      <rgbColor rgb="FFEF6C00"/>
      <rgbColor rgb="FF725990"/>
      <rgbColor rgb="FF999999"/>
      <rgbColor rgb="FF122B49"/>
      <rgbColor rgb="FF4299B0"/>
      <rgbColor rgb="FF003300"/>
      <rgbColor rgb="FF333300"/>
      <rgbColor rgb="FFC62828"/>
      <rgbColor rgb="FF666666"/>
      <rgbColor rgb="FF274C77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Top 10 Cidades - Receita 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_ChartData!$K$1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274C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_ChartData!$J$2:$J$11</c:f>
              <c:strCache>
                <c:ptCount val="10"/>
                <c:pt idx="0">
                  <c:v>Las Vegas</c:v>
                </c:pt>
                <c:pt idx="1">
                  <c:v>Atlanta</c:v>
                </c:pt>
                <c:pt idx="2">
                  <c:v>New Orleans</c:v>
                </c:pt>
                <c:pt idx="3">
                  <c:v>Wichita</c:v>
                </c:pt>
                <c:pt idx="4">
                  <c:v>Boston</c:v>
                </c:pt>
                <c:pt idx="5">
                  <c:v>Dallas</c:v>
                </c:pt>
                <c:pt idx="6">
                  <c:v>Seattle</c:v>
                </c:pt>
                <c:pt idx="7">
                  <c:v>San Diego</c:v>
                </c:pt>
                <c:pt idx="8">
                  <c:v>Arlington</c:v>
                </c:pt>
                <c:pt idx="9">
                  <c:v>Oakland</c:v>
                </c:pt>
              </c:strCache>
            </c:strRef>
          </c:cat>
          <c:val>
            <c:numRef>
              <c:f>_ChartData!$K$2:$K$11</c:f>
              <c:numCache>
                <c:formatCode>General</c:formatCode>
                <c:ptCount val="10"/>
                <c:pt idx="0">
                  <c:v>473500</c:v>
                </c:pt>
                <c:pt idx="1">
                  <c:v>434800</c:v>
                </c:pt>
                <c:pt idx="2">
                  <c:v>361400</c:v>
                </c:pt>
                <c:pt idx="3">
                  <c:v>351600</c:v>
                </c:pt>
                <c:pt idx="4">
                  <c:v>328800</c:v>
                </c:pt>
                <c:pt idx="5">
                  <c:v>317200.5</c:v>
                </c:pt>
                <c:pt idx="6">
                  <c:v>313900</c:v>
                </c:pt>
                <c:pt idx="7">
                  <c:v>303750</c:v>
                </c:pt>
                <c:pt idx="8">
                  <c:v>286500</c:v>
                </c:pt>
                <c:pt idx="9">
                  <c:v>284500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9-4BAA-B727-E8A2E641C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41421"/>
        <c:axId val="86518834"/>
      </c:barChart>
      <c:catAx>
        <c:axId val="522414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6518834"/>
        <c:crosses val="autoZero"/>
        <c:auto val="1"/>
        <c:lblAlgn val="ctr"/>
        <c:lblOffset val="100"/>
        <c:noMultiLvlLbl val="0"/>
      </c:catAx>
      <c:valAx>
        <c:axId val="865188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Receita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22414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Tendência de Vendas por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_ChartData!$E$1</c:f>
              <c:strCache>
                <c:ptCount val="1"/>
                <c:pt idx="0">
                  <c:v>Vendas</c:v>
                </c:pt>
              </c:strCache>
            </c:strRef>
          </c:tx>
          <c:spPr>
            <a:ln w="28080">
              <a:solidFill>
                <a:srgbClr val="274C77"/>
              </a:solidFill>
              <a:round/>
            </a:ln>
          </c:spPr>
          <c:marker>
            <c:symbol val="circle"/>
            <c:size val="8"/>
            <c:spPr>
              <a:solidFill>
                <a:srgbClr val="274C7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_ChartData!$D$2:$D$8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numCache>
            </c:numRef>
          </c:cat>
          <c:val>
            <c:numRef>
              <c:f>_ChartData!$E$2:$E$8</c:f>
              <c:numCache>
                <c:formatCode>General</c:formatCode>
                <c:ptCount val="7"/>
                <c:pt idx="0">
                  <c:v>4</c:v>
                </c:pt>
                <c:pt idx="1">
                  <c:v>12</c:v>
                </c:pt>
                <c:pt idx="2">
                  <c:v>16</c:v>
                </c:pt>
                <c:pt idx="3">
                  <c:v>19</c:v>
                </c:pt>
                <c:pt idx="4">
                  <c:v>29</c:v>
                </c:pt>
                <c:pt idx="5">
                  <c:v>16</c:v>
                </c:pt>
                <c:pt idx="6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EE-4DCE-AE8C-ED621DC7C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8744338"/>
        <c:axId val="83036116"/>
      </c:lineChart>
      <c:catAx>
        <c:axId val="88744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3036116"/>
        <c:crosses val="autoZero"/>
        <c:auto val="1"/>
        <c:lblAlgn val="ctr"/>
        <c:lblOffset val="100"/>
        <c:noMultiLvlLbl val="0"/>
      </c:catAx>
      <c:valAx>
        <c:axId val="830361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Vendas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8744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Distribuição de Status de Entrega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_ChartData!$H$1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30C-414A-B3E3-510F53781E8B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30C-414A-B3E3-510F53781E8B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30C-414A-B3E3-510F53781E8B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30C-414A-B3E3-510F53781E8B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30C-414A-B3E3-510F53781E8B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330C-414A-B3E3-510F53781E8B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330C-414A-B3E3-510F53781E8B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330C-414A-B3E3-510F53781E8B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330C-414A-B3E3-510F53781E8B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330C-414A-B3E3-510F53781E8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30C-414A-B3E3-510F53781E8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30C-414A-B3E3-510F53781E8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30C-414A-B3E3-510F53781E8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30C-414A-B3E3-510F53781E8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30C-414A-B3E3-510F53781E8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330C-414A-B3E3-510F53781E8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330C-414A-B3E3-510F53781E8B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330C-414A-B3E3-510F53781E8B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330C-414A-B3E3-510F53781E8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330C-414A-B3E3-510F53781E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_ChartData!$G$2:$G$11</c:f>
              <c:strCache>
                <c:ptCount val="10"/>
                <c:pt idx="0">
                  <c:v>Delivered</c:v>
                </c:pt>
                <c:pt idx="1">
                  <c:v>Pending</c:v>
                </c:pt>
                <c:pt idx="2">
                  <c:v>In Transit</c:v>
                </c:pt>
                <c:pt idx="3">
                  <c:v>Cancelled</c:v>
                </c:pt>
                <c:pt idx="4">
                  <c:v>Awaiting Delivery</c:v>
                </c:pt>
                <c:pt idx="5">
                  <c:v>Awaiting Pickup</c:v>
                </c:pt>
                <c:pt idx="6">
                  <c:v>Shipped</c:v>
                </c:pt>
                <c:pt idx="7">
                  <c:v>Pending Approval</c:v>
                </c:pt>
                <c:pt idx="8">
                  <c:v>Pending Review</c:v>
                </c:pt>
                <c:pt idx="9">
                  <c:v>Awaiting Review</c:v>
                </c:pt>
              </c:strCache>
            </c:strRef>
          </c:cat>
          <c:val>
            <c:numRef>
              <c:f>_ChartData!$H$2:$H$11</c:f>
              <c:numCache>
                <c:formatCode>General</c:formatCode>
                <c:ptCount val="10"/>
                <c:pt idx="0">
                  <c:v>41</c:v>
                </c:pt>
                <c:pt idx="1">
                  <c:v>17</c:v>
                </c:pt>
                <c:pt idx="2">
                  <c:v>15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30C-414A-B3E3-510F53781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Top 10 Modelos Mais Vendidos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_ChartData!$B$1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rgbClr val="274C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_ChartData!$A$2:$A$11</c:f>
              <c:strCache>
                <c:ptCount val="10"/>
                <c:pt idx="0">
                  <c:v>Macan Electric</c:v>
                </c:pt>
                <c:pt idx="1">
                  <c:v>Macan T</c:v>
                </c:pt>
                <c:pt idx="2">
                  <c:v>Panamera</c:v>
                </c:pt>
                <c:pt idx="3">
                  <c:v>Taycan 4S</c:v>
                </c:pt>
                <c:pt idx="4">
                  <c:v>Cayenne E-Hybrid</c:v>
                </c:pt>
                <c:pt idx="5">
                  <c:v>Cayenne Coupe</c:v>
                </c:pt>
                <c:pt idx="6">
                  <c:v>718 Boxster</c:v>
                </c:pt>
                <c:pt idx="7">
                  <c:v>718 Cayman</c:v>
                </c:pt>
                <c:pt idx="8">
                  <c:v>Macan GTS</c:v>
                </c:pt>
                <c:pt idx="9">
                  <c:v>Taycan GTS</c:v>
                </c:pt>
              </c:strCache>
            </c:strRef>
          </c:cat>
          <c:val>
            <c:numRef>
              <c:f>_ChartData!$B$2:$B$11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4-4010-BA92-299DA5615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9257"/>
        <c:axId val="75693545"/>
      </c:barChart>
      <c:catAx>
        <c:axId val="1524925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Vendas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5693545"/>
        <c:crosses val="autoZero"/>
        <c:auto val="1"/>
        <c:lblAlgn val="ctr"/>
        <c:lblOffset val="100"/>
        <c:noMultiLvlLbl val="0"/>
      </c:catAx>
      <c:valAx>
        <c:axId val="7569354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52492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220980</xdr:colOff>
      <xdr:row>38</xdr:row>
      <xdr:rowOff>129540</xdr:rowOff>
    </xdr:from>
    <xdr:to>
      <xdr:col>18</xdr:col>
      <xdr:colOff>25500</xdr:colOff>
      <xdr:row>61</xdr:row>
      <xdr:rowOff>75180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12</xdr:row>
      <xdr:rowOff>106680</xdr:rowOff>
    </xdr:from>
    <xdr:to>
      <xdr:col>6</xdr:col>
      <xdr:colOff>408720</xdr:colOff>
      <xdr:row>35</xdr:row>
      <xdr:rowOff>52320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701040</xdr:colOff>
      <xdr:row>15</xdr:row>
      <xdr:rowOff>137160</xdr:rowOff>
    </xdr:from>
    <xdr:to>
      <xdr:col>11</xdr:col>
      <xdr:colOff>181920</xdr:colOff>
      <xdr:row>38</xdr:row>
      <xdr:rowOff>82800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8</xdr:row>
      <xdr:rowOff>53340</xdr:rowOff>
    </xdr:from>
    <xdr:to>
      <xdr:col>5</xdr:col>
      <xdr:colOff>754380</xdr:colOff>
      <xdr:row>28</xdr:row>
      <xdr:rowOff>53340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showGridLines="0" tabSelected="1" topLeftCell="A12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3" width="5" customWidth="1"/>
    <col min="4" max="4" width="55" customWidth="1"/>
  </cols>
  <sheetData>
    <row r="1" spans="1:9" x14ac:dyDescent="0.3">
      <c r="A1" s="15"/>
      <c r="B1" s="15"/>
      <c r="C1" s="15"/>
      <c r="D1" s="15"/>
      <c r="E1" s="15"/>
      <c r="F1" s="15"/>
      <c r="G1" s="15"/>
      <c r="H1" s="15"/>
      <c r="I1" s="15"/>
    </row>
    <row r="2" spans="1:9" x14ac:dyDescent="0.3">
      <c r="A2" s="15"/>
      <c r="B2" s="15"/>
      <c r="C2" s="15"/>
      <c r="D2" s="15"/>
      <c r="E2" s="15"/>
      <c r="F2" s="15"/>
      <c r="G2" s="15"/>
      <c r="H2" s="15"/>
      <c r="I2" s="15"/>
    </row>
    <row r="3" spans="1:9" ht="45" customHeight="1" x14ac:dyDescent="0.3">
      <c r="A3" s="15"/>
      <c r="B3" s="14" t="s">
        <v>0</v>
      </c>
      <c r="C3" s="14"/>
      <c r="D3" s="14"/>
      <c r="E3" s="14"/>
      <c r="F3" s="14"/>
      <c r="G3" s="14"/>
      <c r="H3" s="14"/>
      <c r="I3" s="15"/>
    </row>
    <row r="4" spans="1:9" ht="24.75" customHeight="1" x14ac:dyDescent="0.3">
      <c r="A4" s="15"/>
      <c r="B4" s="13" t="s">
        <v>1</v>
      </c>
      <c r="C4" s="13"/>
      <c r="D4" s="13"/>
      <c r="E4" s="13"/>
      <c r="F4" s="13"/>
      <c r="G4" s="13"/>
      <c r="H4" s="13"/>
      <c r="I4" s="15"/>
    </row>
    <row r="5" spans="1:9" x14ac:dyDescent="0.3">
      <c r="A5" s="15"/>
      <c r="B5" s="15"/>
      <c r="C5" s="15"/>
      <c r="D5" s="15"/>
      <c r="E5" s="15"/>
      <c r="F5" s="15"/>
      <c r="G5" s="15"/>
      <c r="H5" s="15"/>
      <c r="I5" s="15"/>
    </row>
    <row r="6" spans="1:9" ht="3" customHeight="1" x14ac:dyDescent="0.3">
      <c r="A6" s="15"/>
      <c r="B6" s="12"/>
      <c r="C6" s="12"/>
      <c r="D6" s="12"/>
      <c r="E6" s="12"/>
      <c r="F6" s="12"/>
      <c r="G6" s="12"/>
      <c r="H6" s="12"/>
      <c r="I6" s="15"/>
    </row>
    <row r="7" spans="1:9" x14ac:dyDescent="0.3">
      <c r="A7" s="15"/>
      <c r="B7" s="15"/>
      <c r="C7" s="15"/>
      <c r="D7" s="15"/>
      <c r="E7" s="15"/>
      <c r="F7" s="15"/>
      <c r="G7" s="15"/>
      <c r="H7" s="15"/>
      <c r="I7" s="15"/>
    </row>
    <row r="8" spans="1:9" ht="17.399999999999999" x14ac:dyDescent="0.3">
      <c r="A8" s="15"/>
      <c r="B8" s="11" t="s">
        <v>2</v>
      </c>
      <c r="C8" s="11"/>
      <c r="D8" s="11"/>
      <c r="E8" s="11"/>
      <c r="F8" s="11"/>
      <c r="G8" s="11"/>
      <c r="H8" s="11"/>
      <c r="I8" s="15"/>
    </row>
    <row r="9" spans="1:9" ht="21.75" customHeight="1" x14ac:dyDescent="0.3">
      <c r="A9" s="15"/>
      <c r="B9" s="16" t="s">
        <v>3</v>
      </c>
      <c r="C9" s="15"/>
      <c r="D9" s="10" t="s">
        <v>4</v>
      </c>
      <c r="E9" s="10"/>
      <c r="F9" s="10"/>
      <c r="G9" s="10"/>
      <c r="H9" s="10"/>
      <c r="I9" s="15"/>
    </row>
    <row r="10" spans="1:9" ht="21.75" customHeight="1" x14ac:dyDescent="0.3">
      <c r="A10" s="15"/>
      <c r="B10" s="16" t="s">
        <v>5</v>
      </c>
      <c r="C10" s="15"/>
      <c r="D10" s="10" t="s">
        <v>6</v>
      </c>
      <c r="E10" s="10"/>
      <c r="F10" s="10"/>
      <c r="G10" s="10"/>
      <c r="H10" s="10"/>
      <c r="I10" s="15"/>
    </row>
    <row r="11" spans="1:9" ht="21.75" customHeight="1" x14ac:dyDescent="0.3">
      <c r="A11" s="15"/>
      <c r="B11" s="16" t="s">
        <v>7</v>
      </c>
      <c r="C11" s="15"/>
      <c r="D11" s="10" t="s">
        <v>8</v>
      </c>
      <c r="E11" s="10"/>
      <c r="F11" s="10"/>
      <c r="G11" s="10"/>
      <c r="H11" s="10"/>
      <c r="I11" s="15"/>
    </row>
    <row r="12" spans="1:9" ht="21.75" customHeight="1" x14ac:dyDescent="0.3">
      <c r="A12" s="15"/>
      <c r="B12" s="16" t="s">
        <v>9</v>
      </c>
      <c r="C12" s="15"/>
      <c r="D12" s="10" t="s">
        <v>10</v>
      </c>
      <c r="E12" s="10"/>
      <c r="F12" s="10"/>
      <c r="G12" s="10"/>
      <c r="H12" s="10"/>
      <c r="I12" s="15"/>
    </row>
    <row r="13" spans="1:9" ht="21.75" customHeight="1" x14ac:dyDescent="0.3">
      <c r="A13" s="15"/>
      <c r="B13" s="16" t="s">
        <v>11</v>
      </c>
      <c r="C13" s="15"/>
      <c r="D13" s="10" t="s">
        <v>12</v>
      </c>
      <c r="E13" s="10"/>
      <c r="F13" s="10"/>
      <c r="G13" s="10"/>
      <c r="H13" s="10"/>
      <c r="I13" s="15"/>
    </row>
    <row r="14" spans="1:9" ht="21.75" customHeight="1" x14ac:dyDescent="0.3">
      <c r="A14" s="15"/>
      <c r="B14" s="16" t="s">
        <v>13</v>
      </c>
      <c r="C14" s="15"/>
      <c r="D14" s="10" t="s">
        <v>14</v>
      </c>
      <c r="E14" s="10"/>
      <c r="F14" s="10"/>
      <c r="G14" s="10"/>
      <c r="H14" s="10"/>
      <c r="I14" s="15"/>
    </row>
    <row r="15" spans="1:9" x14ac:dyDescent="0.3">
      <c r="A15" s="15"/>
      <c r="B15" s="15"/>
      <c r="C15" s="15"/>
      <c r="D15" s="15"/>
      <c r="E15" s="15"/>
      <c r="F15" s="15"/>
      <c r="G15" s="15"/>
      <c r="H15" s="15"/>
      <c r="I15" s="15"/>
    </row>
    <row r="16" spans="1:9" ht="3" customHeight="1" x14ac:dyDescent="0.3">
      <c r="A16" s="15"/>
      <c r="B16" s="12"/>
      <c r="C16" s="12"/>
      <c r="D16" s="12"/>
      <c r="E16" s="12"/>
      <c r="F16" s="12"/>
      <c r="G16" s="12"/>
      <c r="H16" s="12"/>
      <c r="I16" s="15"/>
    </row>
    <row r="17" spans="1:9" x14ac:dyDescent="0.3">
      <c r="A17" s="15"/>
      <c r="B17" s="15"/>
      <c r="C17" s="15"/>
      <c r="D17" s="15"/>
      <c r="E17" s="15"/>
      <c r="F17" s="15"/>
      <c r="G17" s="15"/>
      <c r="H17" s="15"/>
      <c r="I17" s="15"/>
    </row>
    <row r="18" spans="1:9" ht="17.399999999999999" x14ac:dyDescent="0.3">
      <c r="A18" s="15"/>
      <c r="B18" s="11" t="s">
        <v>15</v>
      </c>
      <c r="C18" s="11"/>
      <c r="D18" s="11"/>
      <c r="E18" s="11"/>
      <c r="F18" s="11"/>
      <c r="G18" s="11"/>
      <c r="H18" s="11"/>
      <c r="I18" s="15"/>
    </row>
    <row r="19" spans="1:9" ht="21.75" customHeight="1" x14ac:dyDescent="0.3">
      <c r="A19" s="15"/>
      <c r="B19" s="17" t="s">
        <v>16</v>
      </c>
      <c r="C19" s="15"/>
      <c r="D19" s="9" t="s">
        <v>17</v>
      </c>
      <c r="E19" s="9"/>
      <c r="F19" s="9"/>
      <c r="G19" s="9"/>
      <c r="H19" s="9"/>
      <c r="I19" s="15"/>
    </row>
    <row r="20" spans="1:9" ht="21.75" customHeight="1" x14ac:dyDescent="0.3">
      <c r="A20" s="15"/>
      <c r="B20" s="17" t="s">
        <v>18</v>
      </c>
      <c r="C20" s="15"/>
      <c r="D20" s="9" t="s">
        <v>19</v>
      </c>
      <c r="E20" s="9"/>
      <c r="F20" s="9"/>
      <c r="G20" s="9"/>
      <c r="H20" s="9"/>
      <c r="I20" s="15"/>
    </row>
    <row r="21" spans="1:9" ht="21.75" customHeight="1" x14ac:dyDescent="0.3">
      <c r="A21" s="15"/>
      <c r="B21" s="17" t="s">
        <v>20</v>
      </c>
      <c r="C21" s="15"/>
      <c r="D21" s="9" t="s">
        <v>21</v>
      </c>
      <c r="E21" s="9"/>
      <c r="F21" s="9"/>
      <c r="G21" s="9"/>
      <c r="H21" s="9"/>
      <c r="I21" s="15"/>
    </row>
    <row r="22" spans="1:9" ht="21.75" customHeight="1" x14ac:dyDescent="0.3">
      <c r="A22" s="15"/>
      <c r="B22" s="17" t="s">
        <v>22</v>
      </c>
      <c r="C22" s="15"/>
      <c r="D22" s="9" t="s">
        <v>23</v>
      </c>
      <c r="E22" s="9"/>
      <c r="F22" s="9"/>
      <c r="G22" s="9"/>
      <c r="H22" s="9"/>
      <c r="I22" s="15"/>
    </row>
    <row r="23" spans="1:9" ht="21.75" customHeight="1" x14ac:dyDescent="0.3">
      <c r="A23" s="15"/>
      <c r="B23" s="17" t="s">
        <v>24</v>
      </c>
      <c r="C23" s="15"/>
      <c r="D23" s="9" t="s">
        <v>25</v>
      </c>
      <c r="E23" s="9"/>
      <c r="F23" s="9"/>
      <c r="G23" s="9"/>
      <c r="H23" s="9"/>
      <c r="I23" s="15"/>
    </row>
    <row r="24" spans="1:9" ht="21.75" customHeight="1" x14ac:dyDescent="0.3">
      <c r="A24" s="15"/>
      <c r="B24" s="17" t="s">
        <v>26</v>
      </c>
      <c r="C24" s="15"/>
      <c r="D24" s="9" t="s">
        <v>27</v>
      </c>
      <c r="E24" s="9"/>
      <c r="F24" s="9"/>
      <c r="G24" s="9"/>
      <c r="H24" s="9"/>
      <c r="I24" s="15"/>
    </row>
    <row r="25" spans="1:9" x14ac:dyDescent="0.3">
      <c r="A25" s="15"/>
      <c r="B25" s="15"/>
      <c r="C25" s="15"/>
      <c r="D25" s="15"/>
      <c r="E25" s="15"/>
      <c r="F25" s="15"/>
      <c r="G25" s="15"/>
      <c r="H25" s="15"/>
      <c r="I25" s="15"/>
    </row>
    <row r="26" spans="1:9" x14ac:dyDescent="0.3">
      <c r="A26" s="15"/>
      <c r="B26" s="8" t="s">
        <v>28</v>
      </c>
      <c r="C26" s="8"/>
      <c r="D26" s="8"/>
      <c r="E26" s="8"/>
      <c r="F26" s="8"/>
      <c r="G26" s="8"/>
      <c r="H26" s="8"/>
      <c r="I26" s="15"/>
    </row>
    <row r="27" spans="1:9" x14ac:dyDescent="0.3">
      <c r="A27" s="15"/>
      <c r="B27" s="15"/>
      <c r="C27" s="15"/>
      <c r="D27" s="15"/>
      <c r="E27" s="15"/>
      <c r="F27" s="15"/>
      <c r="G27" s="15"/>
      <c r="H27" s="15"/>
      <c r="I27" s="15"/>
    </row>
    <row r="28" spans="1:9" x14ac:dyDescent="0.3">
      <c r="A28" s="15"/>
      <c r="B28" s="15"/>
      <c r="C28" s="15"/>
      <c r="D28" s="15"/>
      <c r="E28" s="15"/>
      <c r="F28" s="15"/>
      <c r="G28" s="15"/>
      <c r="H28" s="15"/>
      <c r="I28" s="15"/>
    </row>
    <row r="29" spans="1:9" x14ac:dyDescent="0.3">
      <c r="A29" s="15"/>
      <c r="B29" s="15"/>
      <c r="C29" s="15"/>
      <c r="D29" s="15"/>
      <c r="E29" s="15"/>
      <c r="F29" s="15"/>
      <c r="G29" s="15"/>
      <c r="H29" s="15"/>
      <c r="I29" s="15"/>
    </row>
  </sheetData>
  <mergeCells count="19">
    <mergeCell ref="D22:H22"/>
    <mergeCell ref="D23:H23"/>
    <mergeCell ref="D24:H24"/>
    <mergeCell ref="B26:H26"/>
    <mergeCell ref="B16:H16"/>
    <mergeCell ref="B18:H18"/>
    <mergeCell ref="D19:H19"/>
    <mergeCell ref="D20:H20"/>
    <mergeCell ref="D21:H21"/>
    <mergeCell ref="D10:H10"/>
    <mergeCell ref="D11:H11"/>
    <mergeCell ref="D12:H12"/>
    <mergeCell ref="D13:H13"/>
    <mergeCell ref="D14:H14"/>
    <mergeCell ref="B3:H3"/>
    <mergeCell ref="B4:H4"/>
    <mergeCell ref="B6:H6"/>
    <mergeCell ref="B8:H8"/>
    <mergeCell ref="D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5"/>
  <sheetViews>
    <sheetView showGridLines="0" zoomScaleNormal="100" workbookViewId="0"/>
  </sheetViews>
  <sheetFormatPr defaultColWidth="8.6640625" defaultRowHeight="14.4" x14ac:dyDescent="0.3"/>
  <cols>
    <col min="2" max="2" width="10" customWidth="1"/>
    <col min="3" max="3" width="12" customWidth="1"/>
    <col min="4" max="4" width="18" customWidth="1"/>
    <col min="5" max="5" width="22" customWidth="1"/>
    <col min="6" max="6" width="8" customWidth="1"/>
    <col min="7" max="8" width="14" customWidth="1"/>
    <col min="9" max="10" width="16" customWidth="1"/>
    <col min="11" max="11" width="8" customWidth="1"/>
    <col min="12" max="12" width="14" customWidth="1"/>
    <col min="13" max="13" width="16" customWidth="1"/>
    <col min="14" max="14" width="18" customWidth="1"/>
  </cols>
  <sheetData>
    <row r="2" spans="2:14" ht="34.5" customHeight="1" x14ac:dyDescent="0.3">
      <c r="B2" s="7" t="s">
        <v>29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ht="21.75" customHeight="1" x14ac:dyDescent="0.3">
      <c r="B3" s="6" t="s">
        <v>30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2:14" ht="24.75" customHeight="1" x14ac:dyDescent="0.3">
      <c r="B5" s="18" t="s">
        <v>31</v>
      </c>
      <c r="C5" s="18" t="s">
        <v>32</v>
      </c>
      <c r="D5" s="18" t="s">
        <v>33</v>
      </c>
      <c r="E5" s="18" t="s">
        <v>34</v>
      </c>
      <c r="F5" s="18" t="s">
        <v>35</v>
      </c>
      <c r="G5" s="18" t="s">
        <v>36</v>
      </c>
      <c r="H5" s="18" t="s">
        <v>37</v>
      </c>
      <c r="I5" s="18" t="s">
        <v>38</v>
      </c>
      <c r="J5" s="18" t="s">
        <v>39</v>
      </c>
      <c r="K5" s="18" t="s">
        <v>40</v>
      </c>
      <c r="L5" s="18" t="s">
        <v>41</v>
      </c>
      <c r="M5" s="18" t="s">
        <v>42</v>
      </c>
      <c r="N5" s="18" t="s">
        <v>43</v>
      </c>
    </row>
    <row r="6" spans="2:14" x14ac:dyDescent="0.3">
      <c r="B6" s="19">
        <v>6</v>
      </c>
      <c r="C6" s="20" t="s">
        <v>44</v>
      </c>
      <c r="D6" s="20" t="s">
        <v>45</v>
      </c>
      <c r="E6" s="20" t="s">
        <v>46</v>
      </c>
      <c r="F6" s="19">
        <v>2022</v>
      </c>
      <c r="G6" s="21">
        <v>79500</v>
      </c>
      <c r="H6" s="22">
        <v>9800</v>
      </c>
      <c r="I6" s="20" t="s">
        <v>47</v>
      </c>
      <c r="J6" s="20" t="s">
        <v>48</v>
      </c>
      <c r="K6" s="20" t="s">
        <v>49</v>
      </c>
      <c r="L6" s="20" t="s">
        <v>50</v>
      </c>
      <c r="M6" s="20" t="s">
        <v>51</v>
      </c>
      <c r="N6" s="20" t="s">
        <v>52</v>
      </c>
    </row>
    <row r="7" spans="2:14" x14ac:dyDescent="0.3">
      <c r="B7" s="23">
        <v>7</v>
      </c>
      <c r="C7" s="24" t="s">
        <v>53</v>
      </c>
      <c r="D7" s="24" t="s">
        <v>54</v>
      </c>
      <c r="E7" s="24" t="s">
        <v>55</v>
      </c>
      <c r="F7" s="23">
        <v>2024</v>
      </c>
      <c r="G7" s="25">
        <v>235000</v>
      </c>
      <c r="H7" s="26">
        <v>1200</v>
      </c>
      <c r="I7" s="24" t="s">
        <v>56</v>
      </c>
      <c r="J7" s="24" t="s">
        <v>57</v>
      </c>
      <c r="K7" s="24" t="s">
        <v>58</v>
      </c>
      <c r="L7" s="24" t="s">
        <v>50</v>
      </c>
      <c r="M7" s="24" t="s">
        <v>59</v>
      </c>
      <c r="N7" s="24" t="s">
        <v>52</v>
      </c>
    </row>
    <row r="8" spans="2:14" x14ac:dyDescent="0.3">
      <c r="B8" s="19">
        <v>8</v>
      </c>
      <c r="C8" s="20" t="s">
        <v>60</v>
      </c>
      <c r="D8" s="20" t="s">
        <v>61</v>
      </c>
      <c r="E8" s="20" t="s">
        <v>62</v>
      </c>
      <c r="F8" s="19">
        <v>2023</v>
      </c>
      <c r="G8" s="21">
        <v>112750</v>
      </c>
      <c r="H8" s="22">
        <v>6400</v>
      </c>
      <c r="I8" s="20" t="s">
        <v>63</v>
      </c>
      <c r="J8" s="20" t="s">
        <v>64</v>
      </c>
      <c r="K8" s="20" t="s">
        <v>65</v>
      </c>
      <c r="L8" s="20" t="s">
        <v>50</v>
      </c>
      <c r="M8" s="20" t="s">
        <v>66</v>
      </c>
      <c r="N8" s="20" t="s">
        <v>67</v>
      </c>
    </row>
    <row r="9" spans="2:14" x14ac:dyDescent="0.3">
      <c r="B9" s="23">
        <v>9</v>
      </c>
      <c r="C9" s="24" t="s">
        <v>44</v>
      </c>
      <c r="D9" s="24" t="s">
        <v>68</v>
      </c>
      <c r="E9" s="24" t="s">
        <v>69</v>
      </c>
      <c r="F9" s="23">
        <v>2021</v>
      </c>
      <c r="G9" s="25">
        <v>68900</v>
      </c>
      <c r="H9" s="26">
        <v>28</v>
      </c>
      <c r="I9" s="24" t="s">
        <v>70</v>
      </c>
      <c r="J9" s="24" t="s">
        <v>71</v>
      </c>
      <c r="K9" s="24" t="s">
        <v>72</v>
      </c>
      <c r="L9" s="24" t="s">
        <v>50</v>
      </c>
      <c r="M9" s="24" t="s">
        <v>73</v>
      </c>
      <c r="N9" s="24" t="s">
        <v>74</v>
      </c>
    </row>
    <row r="10" spans="2:14" x14ac:dyDescent="0.3">
      <c r="B10" s="19">
        <v>10</v>
      </c>
      <c r="C10" s="20" t="s">
        <v>75</v>
      </c>
      <c r="D10" s="20" t="s">
        <v>76</v>
      </c>
      <c r="E10" s="20" t="s">
        <v>77</v>
      </c>
      <c r="F10" s="19">
        <v>2024</v>
      </c>
      <c r="G10" s="21">
        <v>121000</v>
      </c>
      <c r="H10" s="22">
        <v>0</v>
      </c>
      <c r="I10" s="20" t="s">
        <v>78</v>
      </c>
      <c r="J10" s="20" t="s">
        <v>79</v>
      </c>
      <c r="K10" s="20" t="s">
        <v>80</v>
      </c>
      <c r="L10" s="20" t="s">
        <v>50</v>
      </c>
      <c r="M10" s="20" t="s">
        <v>81</v>
      </c>
      <c r="N10" s="20" t="s">
        <v>52</v>
      </c>
    </row>
    <row r="11" spans="2:14" x14ac:dyDescent="0.3">
      <c r="B11" s="23">
        <v>11</v>
      </c>
      <c r="C11" s="24" t="s">
        <v>82</v>
      </c>
      <c r="D11" s="24" t="s">
        <v>83</v>
      </c>
      <c r="E11" s="24" t="s">
        <v>84</v>
      </c>
      <c r="F11" s="23">
        <v>2023</v>
      </c>
      <c r="G11" s="25">
        <v>104500</v>
      </c>
      <c r="H11" s="26">
        <v>14500</v>
      </c>
      <c r="I11" s="24" t="s">
        <v>47</v>
      </c>
      <c r="J11" s="24" t="s">
        <v>85</v>
      </c>
      <c r="K11" s="24" t="s">
        <v>86</v>
      </c>
      <c r="L11" s="24" t="s">
        <v>50</v>
      </c>
      <c r="M11" s="24" t="s">
        <v>87</v>
      </c>
      <c r="N11" s="24" t="s">
        <v>88</v>
      </c>
    </row>
    <row r="12" spans="2:14" x14ac:dyDescent="0.3">
      <c r="B12" s="19">
        <v>12</v>
      </c>
      <c r="C12" s="20" t="s">
        <v>89</v>
      </c>
      <c r="D12" s="20" t="s">
        <v>90</v>
      </c>
      <c r="E12" s="20" t="s">
        <v>91</v>
      </c>
      <c r="F12" s="19">
        <v>2020</v>
      </c>
      <c r="G12" s="21">
        <v>96300</v>
      </c>
      <c r="H12" s="22">
        <v>41000</v>
      </c>
      <c r="I12" s="20" t="s">
        <v>92</v>
      </c>
      <c r="J12" s="20" t="s">
        <v>93</v>
      </c>
      <c r="K12" s="20" t="s">
        <v>94</v>
      </c>
      <c r="L12" s="20" t="s">
        <v>50</v>
      </c>
      <c r="M12" s="20" t="s">
        <v>95</v>
      </c>
      <c r="N12" s="20" t="s">
        <v>52</v>
      </c>
    </row>
    <row r="13" spans="2:14" x14ac:dyDescent="0.3">
      <c r="B13" s="23">
        <v>13</v>
      </c>
      <c r="C13" s="24" t="s">
        <v>44</v>
      </c>
      <c r="D13" s="24" t="s">
        <v>96</v>
      </c>
      <c r="E13" s="24" t="s">
        <v>97</v>
      </c>
      <c r="F13" s="23">
        <v>2022</v>
      </c>
      <c r="G13" s="25">
        <v>89750</v>
      </c>
      <c r="H13" s="26">
        <v>11744</v>
      </c>
      <c r="I13" s="24" t="s">
        <v>56</v>
      </c>
      <c r="J13" s="24" t="s">
        <v>98</v>
      </c>
      <c r="K13" s="24" t="s">
        <v>80</v>
      </c>
      <c r="L13" s="24" t="s">
        <v>50</v>
      </c>
      <c r="M13" s="24" t="s">
        <v>99</v>
      </c>
      <c r="N13" s="24" t="s">
        <v>100</v>
      </c>
    </row>
    <row r="14" spans="2:14" x14ac:dyDescent="0.3">
      <c r="B14" s="19">
        <v>14</v>
      </c>
      <c r="C14" s="20" t="s">
        <v>101</v>
      </c>
      <c r="D14" s="20" t="s">
        <v>102</v>
      </c>
      <c r="E14" s="20" t="s">
        <v>103</v>
      </c>
      <c r="F14" s="19">
        <v>2021</v>
      </c>
      <c r="G14" s="21">
        <v>73500</v>
      </c>
      <c r="H14" s="22">
        <v>22300</v>
      </c>
      <c r="I14" s="20" t="s">
        <v>104</v>
      </c>
      <c r="J14" s="20" t="s">
        <v>105</v>
      </c>
      <c r="K14" s="20" t="s">
        <v>106</v>
      </c>
      <c r="L14" s="20" t="s">
        <v>50</v>
      </c>
      <c r="M14" s="20" t="s">
        <v>107</v>
      </c>
      <c r="N14" s="20" t="s">
        <v>108</v>
      </c>
    </row>
    <row r="15" spans="2:14" x14ac:dyDescent="0.3">
      <c r="B15" s="23">
        <v>15</v>
      </c>
      <c r="C15" s="24" t="s">
        <v>109</v>
      </c>
      <c r="D15" s="24" t="s">
        <v>110</v>
      </c>
      <c r="E15" s="24" t="s">
        <v>111</v>
      </c>
      <c r="F15" s="23">
        <v>2024</v>
      </c>
      <c r="G15" s="25">
        <v>95000</v>
      </c>
      <c r="H15" s="26">
        <v>3500</v>
      </c>
      <c r="I15" s="24" t="s">
        <v>63</v>
      </c>
      <c r="J15" s="24" t="s">
        <v>112</v>
      </c>
      <c r="K15" s="24" t="s">
        <v>113</v>
      </c>
      <c r="L15" s="24" t="s">
        <v>50</v>
      </c>
      <c r="M15" s="24" t="s">
        <v>114</v>
      </c>
      <c r="N15" s="24" t="s">
        <v>67</v>
      </c>
    </row>
    <row r="16" spans="2:14" x14ac:dyDescent="0.3">
      <c r="B16" s="19">
        <v>16</v>
      </c>
      <c r="C16" s="20" t="s">
        <v>115</v>
      </c>
      <c r="D16" s="20" t="s">
        <v>116</v>
      </c>
      <c r="E16" s="20" t="s">
        <v>117</v>
      </c>
      <c r="F16" s="19">
        <v>2023</v>
      </c>
      <c r="G16" s="21">
        <v>153200.5</v>
      </c>
      <c r="H16" s="22">
        <v>11</v>
      </c>
      <c r="I16" s="20" t="s">
        <v>118</v>
      </c>
      <c r="J16" s="20" t="s">
        <v>119</v>
      </c>
      <c r="K16" s="20" t="s">
        <v>65</v>
      </c>
      <c r="L16" s="20" t="s">
        <v>50</v>
      </c>
      <c r="M16" s="20" t="s">
        <v>120</v>
      </c>
      <c r="N16" s="20" t="s">
        <v>52</v>
      </c>
    </row>
    <row r="17" spans="2:14" x14ac:dyDescent="0.3">
      <c r="B17" s="23">
        <v>17</v>
      </c>
      <c r="C17" s="24" t="s">
        <v>44</v>
      </c>
      <c r="D17" s="24" t="s">
        <v>121</v>
      </c>
      <c r="E17" s="24" t="s">
        <v>122</v>
      </c>
      <c r="F17" s="23">
        <v>2024</v>
      </c>
      <c r="G17" s="25">
        <v>241000</v>
      </c>
      <c r="H17" s="26">
        <v>750</v>
      </c>
      <c r="I17" s="24" t="s">
        <v>56</v>
      </c>
      <c r="J17" s="24" t="s">
        <v>123</v>
      </c>
      <c r="K17" s="24" t="s">
        <v>124</v>
      </c>
      <c r="L17" s="24" t="s">
        <v>50</v>
      </c>
      <c r="M17" s="24" t="s">
        <v>125</v>
      </c>
      <c r="N17" s="24" t="s">
        <v>74</v>
      </c>
    </row>
    <row r="18" spans="2:14" x14ac:dyDescent="0.3">
      <c r="B18" s="19">
        <v>18</v>
      </c>
      <c r="C18" s="20" t="s">
        <v>126</v>
      </c>
      <c r="D18" s="20" t="s">
        <v>127</v>
      </c>
      <c r="E18" s="20" t="s">
        <v>128</v>
      </c>
      <c r="F18" s="19">
        <v>2022</v>
      </c>
      <c r="G18" s="21">
        <v>132000</v>
      </c>
      <c r="H18" s="22">
        <v>19250</v>
      </c>
      <c r="I18" s="20" t="s">
        <v>70</v>
      </c>
      <c r="J18" s="20" t="s">
        <v>129</v>
      </c>
      <c r="K18" s="20" t="s">
        <v>80</v>
      </c>
      <c r="L18" s="20" t="s">
        <v>50</v>
      </c>
      <c r="M18" s="20" t="s">
        <v>130</v>
      </c>
      <c r="N18" s="20" t="s">
        <v>52</v>
      </c>
    </row>
    <row r="19" spans="2:14" x14ac:dyDescent="0.3">
      <c r="B19" s="23">
        <v>19</v>
      </c>
      <c r="C19" s="24" t="s">
        <v>131</v>
      </c>
      <c r="D19" s="24" t="s">
        <v>132</v>
      </c>
      <c r="E19" s="24" t="s">
        <v>133</v>
      </c>
      <c r="F19" s="23">
        <v>2024</v>
      </c>
      <c r="G19" s="25">
        <v>188000</v>
      </c>
      <c r="H19" s="26">
        <v>2100</v>
      </c>
      <c r="I19" s="24" t="s">
        <v>134</v>
      </c>
      <c r="J19" s="24" t="s">
        <v>135</v>
      </c>
      <c r="K19" s="24" t="s">
        <v>65</v>
      </c>
      <c r="L19" s="24" t="s">
        <v>50</v>
      </c>
      <c r="M19" s="24" t="s">
        <v>136</v>
      </c>
      <c r="N19" s="24" t="s">
        <v>137</v>
      </c>
    </row>
    <row r="20" spans="2:14" x14ac:dyDescent="0.3">
      <c r="B20" s="19">
        <v>20</v>
      </c>
      <c r="C20" s="20" t="s">
        <v>138</v>
      </c>
      <c r="D20" s="20" t="s">
        <v>139</v>
      </c>
      <c r="E20" s="20" t="s">
        <v>140</v>
      </c>
      <c r="F20" s="19">
        <v>2023</v>
      </c>
      <c r="G20" s="21">
        <v>127800</v>
      </c>
      <c r="H20" s="22">
        <v>12000</v>
      </c>
      <c r="I20" s="20" t="s">
        <v>47</v>
      </c>
      <c r="J20" s="20" t="s">
        <v>12</v>
      </c>
      <c r="K20" s="20" t="s">
        <v>141</v>
      </c>
      <c r="L20" s="20" t="s">
        <v>50</v>
      </c>
      <c r="M20" s="20" t="s">
        <v>142</v>
      </c>
      <c r="N20" s="20" t="s">
        <v>52</v>
      </c>
    </row>
    <row r="21" spans="2:14" x14ac:dyDescent="0.3">
      <c r="B21" s="23">
        <v>21</v>
      </c>
      <c r="C21" s="24" t="s">
        <v>143</v>
      </c>
      <c r="D21" s="24" t="s">
        <v>144</v>
      </c>
      <c r="E21" s="24" t="s">
        <v>145</v>
      </c>
      <c r="F21" s="23">
        <v>2021</v>
      </c>
      <c r="G21" s="25">
        <v>58900</v>
      </c>
      <c r="H21" s="26">
        <v>33700</v>
      </c>
      <c r="I21" s="24" t="s">
        <v>78</v>
      </c>
      <c r="J21" s="24" t="s">
        <v>146</v>
      </c>
      <c r="K21" s="24" t="s">
        <v>86</v>
      </c>
      <c r="L21" s="24" t="s">
        <v>50</v>
      </c>
      <c r="M21" s="24" t="s">
        <v>147</v>
      </c>
      <c r="N21" s="24" t="s">
        <v>74</v>
      </c>
    </row>
    <row r="22" spans="2:14" x14ac:dyDescent="0.3">
      <c r="B22" s="19">
        <v>22</v>
      </c>
      <c r="C22" s="20" t="s">
        <v>44</v>
      </c>
      <c r="D22" s="20" t="s">
        <v>148</v>
      </c>
      <c r="E22" s="20" t="s">
        <v>149</v>
      </c>
      <c r="F22" s="19">
        <v>2024</v>
      </c>
      <c r="G22" s="21">
        <v>164000</v>
      </c>
      <c r="H22" s="22">
        <v>900</v>
      </c>
      <c r="I22" s="20" t="s">
        <v>63</v>
      </c>
      <c r="J22" s="20" t="s">
        <v>150</v>
      </c>
      <c r="K22" s="20" t="s">
        <v>151</v>
      </c>
      <c r="L22" s="20" t="s">
        <v>50</v>
      </c>
      <c r="M22" s="20" t="s">
        <v>152</v>
      </c>
      <c r="N22" s="20" t="s">
        <v>67</v>
      </c>
    </row>
    <row r="23" spans="2:14" x14ac:dyDescent="0.3">
      <c r="B23" s="23">
        <v>23</v>
      </c>
      <c r="C23" s="24" t="s">
        <v>153</v>
      </c>
      <c r="D23" s="24" t="s">
        <v>154</v>
      </c>
      <c r="E23" s="24" t="s">
        <v>155</v>
      </c>
      <c r="F23" s="23">
        <v>2023</v>
      </c>
      <c r="G23" s="25">
        <v>118500</v>
      </c>
      <c r="H23" s="26">
        <v>7800</v>
      </c>
      <c r="I23" s="24" t="s">
        <v>56</v>
      </c>
      <c r="J23" s="24" t="s">
        <v>156</v>
      </c>
      <c r="K23" s="24" t="s">
        <v>157</v>
      </c>
      <c r="L23" s="24" t="s">
        <v>50</v>
      </c>
      <c r="M23" s="24" t="s">
        <v>158</v>
      </c>
      <c r="N23" s="24" t="s">
        <v>52</v>
      </c>
    </row>
    <row r="24" spans="2:14" x14ac:dyDescent="0.3">
      <c r="B24" s="19">
        <v>24</v>
      </c>
      <c r="C24" s="20" t="s">
        <v>44</v>
      </c>
      <c r="D24" s="20" t="s">
        <v>159</v>
      </c>
      <c r="E24" s="20" t="s">
        <v>160</v>
      </c>
      <c r="F24" s="19">
        <v>2022</v>
      </c>
      <c r="G24" s="21">
        <v>91300</v>
      </c>
      <c r="H24" s="22">
        <v>16000</v>
      </c>
      <c r="I24" s="20" t="s">
        <v>47</v>
      </c>
      <c r="J24" s="20" t="s">
        <v>161</v>
      </c>
      <c r="K24" s="20" t="s">
        <v>162</v>
      </c>
      <c r="L24" s="20" t="s">
        <v>50</v>
      </c>
      <c r="M24" s="20" t="s">
        <v>163</v>
      </c>
      <c r="N24" s="20" t="s">
        <v>74</v>
      </c>
    </row>
    <row r="25" spans="2:14" x14ac:dyDescent="0.3">
      <c r="B25" s="23">
        <v>25</v>
      </c>
      <c r="C25" s="24" t="s">
        <v>164</v>
      </c>
      <c r="D25" s="24" t="s">
        <v>165</v>
      </c>
      <c r="E25" s="24" t="s">
        <v>166</v>
      </c>
      <c r="F25" s="23">
        <v>2024</v>
      </c>
      <c r="G25" s="25">
        <v>158750</v>
      </c>
      <c r="H25" s="26">
        <v>2500</v>
      </c>
      <c r="I25" s="24" t="s">
        <v>92</v>
      </c>
      <c r="J25" s="24" t="s">
        <v>167</v>
      </c>
      <c r="K25" s="24" t="s">
        <v>168</v>
      </c>
      <c r="L25" s="24" t="s">
        <v>50</v>
      </c>
      <c r="M25" s="24" t="s">
        <v>169</v>
      </c>
      <c r="N25" s="24" t="s">
        <v>52</v>
      </c>
    </row>
    <row r="26" spans="2:14" x14ac:dyDescent="0.3">
      <c r="B26" s="19">
        <v>26</v>
      </c>
      <c r="C26" s="20" t="s">
        <v>170</v>
      </c>
      <c r="D26" s="20" t="s">
        <v>171</v>
      </c>
      <c r="E26" s="20" t="s">
        <v>172</v>
      </c>
      <c r="F26" s="19">
        <v>2020</v>
      </c>
      <c r="G26" s="21">
        <v>72000</v>
      </c>
      <c r="H26" s="22">
        <v>49000</v>
      </c>
      <c r="I26" s="20" t="s">
        <v>78</v>
      </c>
      <c r="J26" s="20" t="s">
        <v>173</v>
      </c>
      <c r="K26" s="20" t="s">
        <v>174</v>
      </c>
      <c r="L26" s="20" t="s">
        <v>50</v>
      </c>
      <c r="M26" s="20" t="s">
        <v>175</v>
      </c>
      <c r="N26" s="20" t="s">
        <v>88</v>
      </c>
    </row>
    <row r="27" spans="2:14" x14ac:dyDescent="0.3">
      <c r="B27" s="23">
        <v>27</v>
      </c>
      <c r="C27" s="24" t="s">
        <v>176</v>
      </c>
      <c r="D27" s="24" t="s">
        <v>177</v>
      </c>
      <c r="E27" s="24" t="s">
        <v>178</v>
      </c>
      <c r="F27" s="23">
        <v>2025</v>
      </c>
      <c r="G27" s="25">
        <v>86500</v>
      </c>
      <c r="H27" s="26">
        <v>0</v>
      </c>
      <c r="I27" s="24" t="s">
        <v>56</v>
      </c>
      <c r="J27" s="24" t="s">
        <v>179</v>
      </c>
      <c r="K27" s="24" t="s">
        <v>65</v>
      </c>
      <c r="L27" s="24" t="s">
        <v>50</v>
      </c>
      <c r="M27" s="24" t="s">
        <v>180</v>
      </c>
      <c r="N27" s="24" t="s">
        <v>52</v>
      </c>
    </row>
    <row r="28" spans="2:14" x14ac:dyDescent="0.3">
      <c r="B28" s="19">
        <v>28</v>
      </c>
      <c r="C28" s="20" t="s">
        <v>44</v>
      </c>
      <c r="D28" s="20" t="s">
        <v>181</v>
      </c>
      <c r="E28" s="20" t="s">
        <v>182</v>
      </c>
      <c r="F28" s="19">
        <v>2024</v>
      </c>
      <c r="G28" s="21">
        <v>270000</v>
      </c>
      <c r="H28" s="22">
        <v>1050</v>
      </c>
      <c r="I28" s="20" t="s">
        <v>70</v>
      </c>
      <c r="J28" s="20" t="s">
        <v>183</v>
      </c>
      <c r="K28" s="20" t="s">
        <v>184</v>
      </c>
      <c r="L28" s="20" t="s">
        <v>50</v>
      </c>
      <c r="M28" s="20" t="s">
        <v>185</v>
      </c>
      <c r="N28" s="20" t="s">
        <v>186</v>
      </c>
    </row>
    <row r="29" spans="2:14" x14ac:dyDescent="0.3">
      <c r="B29" s="23">
        <v>29</v>
      </c>
      <c r="C29" s="24" t="s">
        <v>187</v>
      </c>
      <c r="D29" s="24" t="s">
        <v>188</v>
      </c>
      <c r="E29" s="24" t="s">
        <v>189</v>
      </c>
      <c r="F29" s="23">
        <v>2023</v>
      </c>
      <c r="G29" s="25">
        <v>139000</v>
      </c>
      <c r="H29" s="26">
        <v>6250</v>
      </c>
      <c r="I29" s="24" t="s">
        <v>63</v>
      </c>
      <c r="J29" s="24" t="s">
        <v>190</v>
      </c>
      <c r="K29" s="24" t="s">
        <v>157</v>
      </c>
      <c r="L29" s="24" t="s">
        <v>50</v>
      </c>
      <c r="M29" s="24" t="s">
        <v>191</v>
      </c>
      <c r="N29" s="24" t="s">
        <v>67</v>
      </c>
    </row>
    <row r="30" spans="2:14" x14ac:dyDescent="0.3">
      <c r="B30" s="19">
        <v>30</v>
      </c>
      <c r="C30" s="20" t="s">
        <v>192</v>
      </c>
      <c r="D30" s="20" t="s">
        <v>193</v>
      </c>
      <c r="E30" s="20" t="s">
        <v>194</v>
      </c>
      <c r="F30" s="19">
        <v>2021</v>
      </c>
      <c r="G30" s="21">
        <v>76800</v>
      </c>
      <c r="H30" s="22">
        <v>38400</v>
      </c>
      <c r="I30" s="20" t="s">
        <v>47</v>
      </c>
      <c r="J30" s="20" t="s">
        <v>195</v>
      </c>
      <c r="K30" s="20" t="s">
        <v>196</v>
      </c>
      <c r="L30" s="20" t="s">
        <v>50</v>
      </c>
      <c r="M30" s="20" t="s">
        <v>197</v>
      </c>
      <c r="N30" s="20" t="s">
        <v>52</v>
      </c>
    </row>
    <row r="31" spans="2:14" x14ac:dyDescent="0.3">
      <c r="B31" s="23">
        <v>31</v>
      </c>
      <c r="C31" s="24" t="s">
        <v>44</v>
      </c>
      <c r="D31" s="24" t="s">
        <v>198</v>
      </c>
      <c r="E31" s="24" t="s">
        <v>199</v>
      </c>
      <c r="F31" s="23">
        <v>2024</v>
      </c>
      <c r="G31" s="25">
        <v>173600</v>
      </c>
      <c r="H31" s="26">
        <v>400</v>
      </c>
      <c r="I31" s="24" t="s">
        <v>56</v>
      </c>
      <c r="J31" s="24" t="s">
        <v>200</v>
      </c>
      <c r="K31" s="24" t="s">
        <v>201</v>
      </c>
      <c r="L31" s="24" t="s">
        <v>50</v>
      </c>
      <c r="M31" s="24" t="s">
        <v>202</v>
      </c>
      <c r="N31" s="24" t="s">
        <v>74</v>
      </c>
    </row>
    <row r="32" spans="2:14" x14ac:dyDescent="0.3">
      <c r="B32" s="19">
        <v>32</v>
      </c>
      <c r="C32" s="20" t="s">
        <v>203</v>
      </c>
      <c r="D32" s="20" t="s">
        <v>204</v>
      </c>
      <c r="E32" s="20" t="s">
        <v>205</v>
      </c>
      <c r="F32" s="19">
        <v>2022</v>
      </c>
      <c r="G32" s="21">
        <v>119900</v>
      </c>
      <c r="H32" s="22">
        <v>13600</v>
      </c>
      <c r="I32" s="20" t="s">
        <v>70</v>
      </c>
      <c r="J32" s="20" t="s">
        <v>206</v>
      </c>
      <c r="K32" s="20" t="s">
        <v>207</v>
      </c>
      <c r="L32" s="20" t="s">
        <v>50</v>
      </c>
      <c r="M32" s="20" t="s">
        <v>208</v>
      </c>
      <c r="N32" s="20" t="s">
        <v>52</v>
      </c>
    </row>
    <row r="33" spans="2:14" x14ac:dyDescent="0.3">
      <c r="B33" s="23">
        <v>33</v>
      </c>
      <c r="C33" s="24" t="s">
        <v>209</v>
      </c>
      <c r="D33" s="24" t="s">
        <v>210</v>
      </c>
      <c r="E33" s="24" t="s">
        <v>211</v>
      </c>
      <c r="F33" s="23">
        <v>2023</v>
      </c>
      <c r="G33" s="25">
        <v>109250</v>
      </c>
      <c r="H33" s="26">
        <v>8900</v>
      </c>
      <c r="I33" s="24" t="s">
        <v>92</v>
      </c>
      <c r="J33" s="24" t="s">
        <v>212</v>
      </c>
      <c r="K33" s="24" t="s">
        <v>65</v>
      </c>
      <c r="L33" s="24" t="s">
        <v>50</v>
      </c>
      <c r="M33" s="24" t="s">
        <v>213</v>
      </c>
      <c r="N33" s="24" t="s">
        <v>67</v>
      </c>
    </row>
    <row r="34" spans="2:14" x14ac:dyDescent="0.3">
      <c r="B34" s="19">
        <v>34</v>
      </c>
      <c r="C34" s="20" t="s">
        <v>214</v>
      </c>
      <c r="D34" s="20" t="s">
        <v>215</v>
      </c>
      <c r="E34" s="20" t="s">
        <v>216</v>
      </c>
      <c r="F34" s="19">
        <v>2022</v>
      </c>
      <c r="G34" s="21">
        <v>82000</v>
      </c>
      <c r="H34" s="22">
        <v>21750</v>
      </c>
      <c r="I34" s="20" t="s">
        <v>56</v>
      </c>
      <c r="J34" s="20" t="s">
        <v>217</v>
      </c>
      <c r="K34" s="20" t="s">
        <v>86</v>
      </c>
      <c r="L34" s="20" t="s">
        <v>50</v>
      </c>
      <c r="M34" s="20" t="s">
        <v>218</v>
      </c>
      <c r="N34" s="20" t="s">
        <v>52</v>
      </c>
    </row>
    <row r="35" spans="2:14" x14ac:dyDescent="0.3">
      <c r="B35" s="23">
        <v>35</v>
      </c>
      <c r="C35" s="24" t="s">
        <v>219</v>
      </c>
      <c r="D35" s="24" t="s">
        <v>220</v>
      </c>
      <c r="E35" s="24" t="s">
        <v>221</v>
      </c>
      <c r="F35" s="23">
        <v>2025</v>
      </c>
      <c r="G35" s="25">
        <v>214000</v>
      </c>
      <c r="H35" s="26">
        <v>0</v>
      </c>
      <c r="I35" s="24" t="s">
        <v>134</v>
      </c>
      <c r="J35" s="24" t="s">
        <v>98</v>
      </c>
      <c r="K35" s="24" t="s">
        <v>80</v>
      </c>
      <c r="L35" s="24" t="s">
        <v>50</v>
      </c>
      <c r="M35" s="24" t="s">
        <v>222</v>
      </c>
      <c r="N35" s="24" t="s">
        <v>223</v>
      </c>
    </row>
    <row r="36" spans="2:14" x14ac:dyDescent="0.3">
      <c r="B36" s="19">
        <v>36</v>
      </c>
      <c r="C36" s="20" t="s">
        <v>44</v>
      </c>
      <c r="D36" s="20" t="s">
        <v>224</v>
      </c>
      <c r="E36" s="20" t="s">
        <v>225</v>
      </c>
      <c r="F36" s="19">
        <v>2024</v>
      </c>
      <c r="G36" s="21">
        <v>124500</v>
      </c>
      <c r="H36" s="22">
        <v>4800</v>
      </c>
      <c r="I36" s="20" t="s">
        <v>47</v>
      </c>
      <c r="J36" s="20" t="s">
        <v>226</v>
      </c>
      <c r="K36" s="20" t="s">
        <v>86</v>
      </c>
      <c r="L36" s="20" t="s">
        <v>50</v>
      </c>
      <c r="M36" s="20" t="s">
        <v>227</v>
      </c>
      <c r="N36" s="20" t="s">
        <v>52</v>
      </c>
    </row>
    <row r="37" spans="2:14" x14ac:dyDescent="0.3">
      <c r="B37" s="23">
        <v>37</v>
      </c>
      <c r="C37" s="24" t="s">
        <v>228</v>
      </c>
      <c r="D37" s="24" t="s">
        <v>229</v>
      </c>
      <c r="E37" s="24" t="s">
        <v>160</v>
      </c>
      <c r="F37" s="23">
        <v>2023</v>
      </c>
      <c r="G37" s="25">
        <v>98200</v>
      </c>
      <c r="H37" s="26">
        <v>12200</v>
      </c>
      <c r="I37" s="24" t="s">
        <v>78</v>
      </c>
      <c r="J37" s="24" t="s">
        <v>230</v>
      </c>
      <c r="K37" s="24" t="s">
        <v>80</v>
      </c>
      <c r="L37" s="24" t="s">
        <v>50</v>
      </c>
      <c r="M37" s="24" t="s">
        <v>231</v>
      </c>
      <c r="N37" s="24" t="s">
        <v>74</v>
      </c>
    </row>
    <row r="38" spans="2:14" x14ac:dyDescent="0.3">
      <c r="B38" s="19">
        <v>38</v>
      </c>
      <c r="C38" s="20" t="s">
        <v>232</v>
      </c>
      <c r="D38" s="20" t="s">
        <v>233</v>
      </c>
      <c r="E38" s="20" t="s">
        <v>145</v>
      </c>
      <c r="F38" s="19">
        <v>2022</v>
      </c>
      <c r="G38" s="21">
        <v>67500</v>
      </c>
      <c r="H38" s="22">
        <v>24100</v>
      </c>
      <c r="I38" s="20" t="s">
        <v>63</v>
      </c>
      <c r="J38" s="20" t="s">
        <v>234</v>
      </c>
      <c r="K38" s="20" t="s">
        <v>201</v>
      </c>
      <c r="L38" s="20" t="s">
        <v>50</v>
      </c>
      <c r="M38" s="20" t="s">
        <v>235</v>
      </c>
      <c r="N38" s="20" t="s">
        <v>52</v>
      </c>
    </row>
    <row r="39" spans="2:14" x14ac:dyDescent="0.3">
      <c r="B39" s="23">
        <v>39</v>
      </c>
      <c r="C39" s="24" t="s">
        <v>236</v>
      </c>
      <c r="D39" s="24" t="s">
        <v>237</v>
      </c>
      <c r="E39" s="24" t="s">
        <v>238</v>
      </c>
      <c r="F39" s="23">
        <v>2025</v>
      </c>
      <c r="G39" s="25">
        <v>116900</v>
      </c>
      <c r="H39" s="26">
        <v>0</v>
      </c>
      <c r="I39" s="24" t="s">
        <v>56</v>
      </c>
      <c r="J39" s="24" t="s">
        <v>239</v>
      </c>
      <c r="K39" s="24" t="s">
        <v>240</v>
      </c>
      <c r="L39" s="24" t="s">
        <v>50</v>
      </c>
      <c r="M39" s="24" t="s">
        <v>241</v>
      </c>
      <c r="N39" s="24" t="s">
        <v>67</v>
      </c>
    </row>
    <row r="40" spans="2:14" x14ac:dyDescent="0.3">
      <c r="B40" s="19">
        <v>40</v>
      </c>
      <c r="C40" s="20" t="s">
        <v>242</v>
      </c>
      <c r="D40" s="20" t="s">
        <v>243</v>
      </c>
      <c r="E40" s="20" t="s">
        <v>244</v>
      </c>
      <c r="F40" s="19">
        <v>2024</v>
      </c>
      <c r="G40" s="21">
        <v>112000</v>
      </c>
      <c r="H40" s="22">
        <v>10</v>
      </c>
      <c r="I40" s="20" t="s">
        <v>70</v>
      </c>
      <c r="J40" s="20" t="s">
        <v>245</v>
      </c>
      <c r="K40" s="20" t="s">
        <v>246</v>
      </c>
      <c r="L40" s="20" t="s">
        <v>50</v>
      </c>
      <c r="M40" s="20" t="s">
        <v>247</v>
      </c>
      <c r="N40" s="20" t="s">
        <v>52</v>
      </c>
    </row>
    <row r="41" spans="2:14" x14ac:dyDescent="0.3">
      <c r="B41" s="23">
        <v>41</v>
      </c>
      <c r="C41" s="24" t="s">
        <v>248</v>
      </c>
      <c r="D41" s="24" t="s">
        <v>249</v>
      </c>
      <c r="E41" s="24" t="s">
        <v>103</v>
      </c>
      <c r="F41" s="23">
        <v>2021</v>
      </c>
      <c r="G41" s="25">
        <v>74000</v>
      </c>
      <c r="H41" s="26">
        <v>31000</v>
      </c>
      <c r="I41" s="24" t="s">
        <v>104</v>
      </c>
      <c r="J41" s="24" t="s">
        <v>250</v>
      </c>
      <c r="K41" s="24" t="s">
        <v>251</v>
      </c>
      <c r="L41" s="24" t="s">
        <v>50</v>
      </c>
      <c r="M41" s="24" t="s">
        <v>252</v>
      </c>
      <c r="N41" s="24" t="s">
        <v>88</v>
      </c>
    </row>
    <row r="42" spans="2:14" x14ac:dyDescent="0.3">
      <c r="B42" s="19">
        <v>42</v>
      </c>
      <c r="C42" s="20" t="s">
        <v>253</v>
      </c>
      <c r="D42" s="20" t="s">
        <v>254</v>
      </c>
      <c r="E42" s="20" t="s">
        <v>255</v>
      </c>
      <c r="F42" s="19">
        <v>2024</v>
      </c>
      <c r="G42" s="21">
        <v>198300</v>
      </c>
      <c r="H42" s="22">
        <v>2400</v>
      </c>
      <c r="I42" s="20" t="s">
        <v>56</v>
      </c>
      <c r="J42" s="20" t="s">
        <v>256</v>
      </c>
      <c r="K42" s="20" t="s">
        <v>257</v>
      </c>
      <c r="L42" s="20" t="s">
        <v>50</v>
      </c>
      <c r="M42" s="20" t="s">
        <v>258</v>
      </c>
      <c r="N42" s="20" t="s">
        <v>137</v>
      </c>
    </row>
    <row r="43" spans="2:14" x14ac:dyDescent="0.3">
      <c r="B43" s="23">
        <v>43</v>
      </c>
      <c r="C43" s="24" t="s">
        <v>44</v>
      </c>
      <c r="D43" s="24" t="s">
        <v>259</v>
      </c>
      <c r="E43" s="24" t="s">
        <v>62</v>
      </c>
      <c r="F43" s="23">
        <v>2023</v>
      </c>
      <c r="G43" s="25">
        <v>103750</v>
      </c>
      <c r="H43" s="26">
        <v>6773</v>
      </c>
      <c r="I43" s="24" t="s">
        <v>56</v>
      </c>
      <c r="J43" s="24" t="s">
        <v>260</v>
      </c>
      <c r="K43" s="24" t="s">
        <v>113</v>
      </c>
      <c r="L43" s="24" t="s">
        <v>50</v>
      </c>
      <c r="M43" s="24" t="s">
        <v>261</v>
      </c>
      <c r="N43" s="24" t="s">
        <v>100</v>
      </c>
    </row>
    <row r="44" spans="2:14" x14ac:dyDescent="0.3">
      <c r="B44" s="19">
        <v>44</v>
      </c>
      <c r="C44" s="20" t="s">
        <v>44</v>
      </c>
      <c r="D44" s="20" t="s">
        <v>262</v>
      </c>
      <c r="E44" s="20" t="s">
        <v>111</v>
      </c>
      <c r="F44" s="19">
        <v>2024</v>
      </c>
      <c r="G44" s="21">
        <v>93600</v>
      </c>
      <c r="H44" s="22">
        <v>5800</v>
      </c>
      <c r="I44" s="20" t="s">
        <v>63</v>
      </c>
      <c r="J44" s="20" t="s">
        <v>263</v>
      </c>
      <c r="K44" s="20" t="s">
        <v>80</v>
      </c>
      <c r="L44" s="20" t="s">
        <v>50</v>
      </c>
      <c r="M44" s="20" t="s">
        <v>264</v>
      </c>
      <c r="N44" s="20" t="s">
        <v>108</v>
      </c>
    </row>
    <row r="45" spans="2:14" x14ac:dyDescent="0.3">
      <c r="B45" s="23">
        <v>45</v>
      </c>
      <c r="C45" s="24" t="s">
        <v>265</v>
      </c>
      <c r="D45" s="24" t="s">
        <v>266</v>
      </c>
      <c r="E45" s="24" t="s">
        <v>77</v>
      </c>
      <c r="F45" s="23">
        <v>2025</v>
      </c>
      <c r="G45" s="25">
        <v>129000</v>
      </c>
      <c r="H45" s="26">
        <v>0</v>
      </c>
      <c r="I45" s="24" t="s">
        <v>118</v>
      </c>
      <c r="J45" s="24" t="s">
        <v>267</v>
      </c>
      <c r="K45" s="24" t="s">
        <v>268</v>
      </c>
      <c r="L45" s="24" t="s">
        <v>50</v>
      </c>
      <c r="M45" s="24" t="s">
        <v>269</v>
      </c>
      <c r="N45" s="24" t="s">
        <v>67</v>
      </c>
    </row>
    <row r="46" spans="2:14" x14ac:dyDescent="0.3">
      <c r="B46" s="19">
        <v>46</v>
      </c>
      <c r="C46" s="20" t="s">
        <v>270</v>
      </c>
      <c r="D46" s="20" t="s">
        <v>271</v>
      </c>
      <c r="E46" s="20" t="s">
        <v>272</v>
      </c>
      <c r="F46" s="19">
        <v>2022</v>
      </c>
      <c r="G46" s="21">
        <v>136000</v>
      </c>
      <c r="H46" s="22">
        <v>18400</v>
      </c>
      <c r="I46" s="20" t="s">
        <v>47</v>
      </c>
      <c r="J46" s="20" t="s">
        <v>273</v>
      </c>
      <c r="K46" s="20" t="s">
        <v>72</v>
      </c>
      <c r="L46" s="20" t="s">
        <v>50</v>
      </c>
      <c r="M46" s="20" t="s">
        <v>274</v>
      </c>
      <c r="N46" s="20" t="s">
        <v>52</v>
      </c>
    </row>
    <row r="47" spans="2:14" x14ac:dyDescent="0.3">
      <c r="B47" s="23">
        <v>47</v>
      </c>
      <c r="C47" s="24" t="s">
        <v>44</v>
      </c>
      <c r="D47" s="24" t="s">
        <v>275</v>
      </c>
      <c r="E47" s="24" t="s">
        <v>276</v>
      </c>
      <c r="F47" s="23">
        <v>2024</v>
      </c>
      <c r="G47" s="25">
        <v>286500</v>
      </c>
      <c r="H47" s="26">
        <v>700</v>
      </c>
      <c r="I47" s="24" t="s">
        <v>56</v>
      </c>
      <c r="J47" s="24" t="s">
        <v>277</v>
      </c>
      <c r="K47" s="24" t="s">
        <v>65</v>
      </c>
      <c r="L47" s="24" t="s">
        <v>50</v>
      </c>
      <c r="M47" s="24" t="s">
        <v>278</v>
      </c>
      <c r="N47" s="24" t="s">
        <v>74</v>
      </c>
    </row>
    <row r="48" spans="2:14" x14ac:dyDescent="0.3">
      <c r="B48" s="19">
        <v>48</v>
      </c>
      <c r="C48" s="20" t="s">
        <v>279</v>
      </c>
      <c r="D48" s="20" t="s">
        <v>280</v>
      </c>
      <c r="E48" s="20" t="s">
        <v>97</v>
      </c>
      <c r="F48" s="19">
        <v>2023</v>
      </c>
      <c r="G48" s="21">
        <v>92800</v>
      </c>
      <c r="H48" s="22">
        <v>15000</v>
      </c>
      <c r="I48" s="20" t="s">
        <v>92</v>
      </c>
      <c r="J48" s="20" t="s">
        <v>281</v>
      </c>
      <c r="K48" s="20" t="s">
        <v>80</v>
      </c>
      <c r="L48" s="20" t="s">
        <v>50</v>
      </c>
      <c r="M48" s="20" t="s">
        <v>282</v>
      </c>
      <c r="N48" s="20" t="s">
        <v>52</v>
      </c>
    </row>
    <row r="49" spans="2:14" x14ac:dyDescent="0.3">
      <c r="B49" s="23">
        <v>49</v>
      </c>
      <c r="C49" s="24" t="s">
        <v>283</v>
      </c>
      <c r="D49" s="24" t="s">
        <v>284</v>
      </c>
      <c r="E49" s="24" t="s">
        <v>216</v>
      </c>
      <c r="F49" s="23">
        <v>2022</v>
      </c>
      <c r="G49" s="25">
        <v>72400</v>
      </c>
      <c r="H49" s="26">
        <v>19750</v>
      </c>
      <c r="I49" s="24" t="s">
        <v>70</v>
      </c>
      <c r="J49" s="24" t="s">
        <v>285</v>
      </c>
      <c r="K49" s="24" t="s">
        <v>113</v>
      </c>
      <c r="L49" s="24" t="s">
        <v>50</v>
      </c>
      <c r="M49" s="24" t="s">
        <v>286</v>
      </c>
      <c r="N49" s="24" t="s">
        <v>186</v>
      </c>
    </row>
    <row r="50" spans="2:14" x14ac:dyDescent="0.3">
      <c r="B50" s="19">
        <v>50</v>
      </c>
      <c r="C50" s="20" t="s">
        <v>287</v>
      </c>
      <c r="D50" s="20" t="s">
        <v>288</v>
      </c>
      <c r="E50" s="20" t="s">
        <v>117</v>
      </c>
      <c r="F50" s="19">
        <v>2025</v>
      </c>
      <c r="G50" s="21">
        <v>158500</v>
      </c>
      <c r="H50" s="22">
        <v>3200</v>
      </c>
      <c r="I50" s="20" t="s">
        <v>134</v>
      </c>
      <c r="J50" s="20" t="s">
        <v>12</v>
      </c>
      <c r="K50" s="20" t="s">
        <v>141</v>
      </c>
      <c r="L50" s="20" t="s">
        <v>50</v>
      </c>
      <c r="M50" s="20" t="s">
        <v>289</v>
      </c>
      <c r="N50" s="20" t="s">
        <v>52</v>
      </c>
    </row>
    <row r="51" spans="2:14" x14ac:dyDescent="0.3">
      <c r="B51" s="23">
        <v>51</v>
      </c>
      <c r="C51" s="24" t="s">
        <v>290</v>
      </c>
      <c r="D51" s="24" t="s">
        <v>291</v>
      </c>
      <c r="E51" s="24" t="s">
        <v>46</v>
      </c>
      <c r="F51" s="23">
        <v>2021</v>
      </c>
      <c r="G51" s="25">
        <v>69900</v>
      </c>
      <c r="H51" s="26">
        <v>27600</v>
      </c>
      <c r="I51" s="24" t="s">
        <v>78</v>
      </c>
      <c r="J51" s="24" t="s">
        <v>292</v>
      </c>
      <c r="K51" s="24" t="s">
        <v>80</v>
      </c>
      <c r="L51" s="24" t="s">
        <v>50</v>
      </c>
      <c r="M51" s="24" t="s">
        <v>293</v>
      </c>
      <c r="N51" s="24" t="s">
        <v>74</v>
      </c>
    </row>
    <row r="52" spans="2:14" x14ac:dyDescent="0.3">
      <c r="B52" s="19">
        <v>52</v>
      </c>
      <c r="C52" s="20" t="s">
        <v>44</v>
      </c>
      <c r="D52" s="20" t="s">
        <v>294</v>
      </c>
      <c r="E52" s="20" t="s">
        <v>295</v>
      </c>
      <c r="F52" s="19">
        <v>2024</v>
      </c>
      <c r="G52" s="21">
        <v>141250</v>
      </c>
      <c r="H52" s="22">
        <v>2100</v>
      </c>
      <c r="I52" s="20" t="s">
        <v>63</v>
      </c>
      <c r="J52" s="20" t="s">
        <v>296</v>
      </c>
      <c r="K52" s="20" t="s">
        <v>80</v>
      </c>
      <c r="L52" s="20" t="s">
        <v>50</v>
      </c>
      <c r="M52" s="20" t="s">
        <v>297</v>
      </c>
      <c r="N52" s="20" t="s">
        <v>67</v>
      </c>
    </row>
    <row r="53" spans="2:14" x14ac:dyDescent="0.3">
      <c r="B53" s="23">
        <v>53</v>
      </c>
      <c r="C53" s="24" t="s">
        <v>298</v>
      </c>
      <c r="D53" s="24" t="s">
        <v>299</v>
      </c>
      <c r="E53" s="24" t="s">
        <v>172</v>
      </c>
      <c r="F53" s="23">
        <v>2020</v>
      </c>
      <c r="G53" s="25">
        <v>71500</v>
      </c>
      <c r="H53" s="26">
        <v>52000</v>
      </c>
      <c r="I53" s="24" t="s">
        <v>56</v>
      </c>
      <c r="J53" s="24" t="s">
        <v>300</v>
      </c>
      <c r="K53" s="24" t="s">
        <v>301</v>
      </c>
      <c r="L53" s="24" t="s">
        <v>50</v>
      </c>
      <c r="M53" s="24" t="s">
        <v>302</v>
      </c>
      <c r="N53" s="24" t="s">
        <v>52</v>
      </c>
    </row>
    <row r="54" spans="2:14" x14ac:dyDescent="0.3">
      <c r="B54" s="19">
        <v>54</v>
      </c>
      <c r="C54" s="20" t="s">
        <v>303</v>
      </c>
      <c r="D54" s="20" t="s">
        <v>304</v>
      </c>
      <c r="E54" s="20" t="s">
        <v>305</v>
      </c>
      <c r="F54" s="19">
        <v>2023</v>
      </c>
      <c r="G54" s="21">
        <v>146800</v>
      </c>
      <c r="H54" s="22">
        <v>11300</v>
      </c>
      <c r="I54" s="20" t="s">
        <v>47</v>
      </c>
      <c r="J54" s="20" t="s">
        <v>306</v>
      </c>
      <c r="K54" s="20" t="s">
        <v>307</v>
      </c>
      <c r="L54" s="20" t="s">
        <v>50</v>
      </c>
      <c r="M54" s="20" t="s">
        <v>308</v>
      </c>
      <c r="N54" s="20" t="s">
        <v>74</v>
      </c>
    </row>
    <row r="55" spans="2:14" x14ac:dyDescent="0.3">
      <c r="B55" s="23">
        <v>55</v>
      </c>
      <c r="C55" s="24" t="s">
        <v>309</v>
      </c>
      <c r="D55" s="24" t="s">
        <v>310</v>
      </c>
      <c r="E55" s="24" t="s">
        <v>178</v>
      </c>
      <c r="F55" s="23">
        <v>2025</v>
      </c>
      <c r="G55" s="25">
        <v>89700</v>
      </c>
      <c r="H55" s="26">
        <v>0</v>
      </c>
      <c r="I55" s="24" t="s">
        <v>92</v>
      </c>
      <c r="J55" s="24" t="s">
        <v>311</v>
      </c>
      <c r="K55" s="24" t="s">
        <v>312</v>
      </c>
      <c r="L55" s="24" t="s">
        <v>50</v>
      </c>
      <c r="M55" s="24" t="s">
        <v>313</v>
      </c>
      <c r="N55" s="24" t="s">
        <v>52</v>
      </c>
    </row>
    <row r="56" spans="2:14" x14ac:dyDescent="0.3">
      <c r="B56" s="19">
        <v>56</v>
      </c>
      <c r="C56" s="20" t="s">
        <v>314</v>
      </c>
      <c r="D56" s="20" t="s">
        <v>315</v>
      </c>
      <c r="E56" s="20" t="s">
        <v>91</v>
      </c>
      <c r="F56" s="19">
        <v>2022</v>
      </c>
      <c r="G56" s="21">
        <v>104600</v>
      </c>
      <c r="H56" s="22">
        <v>15900</v>
      </c>
      <c r="I56" s="20" t="s">
        <v>78</v>
      </c>
      <c r="J56" s="20" t="s">
        <v>316</v>
      </c>
      <c r="K56" s="20" t="s">
        <v>317</v>
      </c>
      <c r="L56" s="20" t="s">
        <v>50</v>
      </c>
      <c r="M56" s="20" t="s">
        <v>318</v>
      </c>
      <c r="N56" s="20" t="s">
        <v>88</v>
      </c>
    </row>
    <row r="57" spans="2:14" x14ac:dyDescent="0.3">
      <c r="B57" s="23">
        <v>57</v>
      </c>
      <c r="C57" s="24" t="s">
        <v>44</v>
      </c>
      <c r="D57" s="24" t="s">
        <v>319</v>
      </c>
      <c r="E57" s="24" t="s">
        <v>189</v>
      </c>
      <c r="F57" s="23">
        <v>2024</v>
      </c>
      <c r="G57" s="25">
        <v>142000</v>
      </c>
      <c r="H57" s="26">
        <v>6600</v>
      </c>
      <c r="I57" s="24" t="s">
        <v>56</v>
      </c>
      <c r="J57" s="24" t="s">
        <v>320</v>
      </c>
      <c r="K57" s="24" t="s">
        <v>80</v>
      </c>
      <c r="L57" s="24" t="s">
        <v>50</v>
      </c>
      <c r="M57" s="24" t="s">
        <v>180</v>
      </c>
      <c r="N57" s="24" t="s">
        <v>52</v>
      </c>
    </row>
    <row r="58" spans="2:14" x14ac:dyDescent="0.3">
      <c r="B58" s="19">
        <v>58</v>
      </c>
      <c r="C58" s="20" t="s">
        <v>321</v>
      </c>
      <c r="D58" s="20" t="s">
        <v>322</v>
      </c>
      <c r="E58" s="20" t="s">
        <v>194</v>
      </c>
      <c r="F58" s="19">
        <v>2021</v>
      </c>
      <c r="G58" s="21">
        <v>78400</v>
      </c>
      <c r="H58" s="22">
        <v>40250</v>
      </c>
      <c r="I58" s="20" t="s">
        <v>70</v>
      </c>
      <c r="J58" s="20" t="s">
        <v>323</v>
      </c>
      <c r="K58" s="20" t="s">
        <v>124</v>
      </c>
      <c r="L58" s="20" t="s">
        <v>50</v>
      </c>
      <c r="M58" s="20" t="s">
        <v>324</v>
      </c>
      <c r="N58" s="20" t="s">
        <v>325</v>
      </c>
    </row>
    <row r="59" spans="2:14" x14ac:dyDescent="0.3">
      <c r="B59" s="23">
        <v>59</v>
      </c>
      <c r="C59" s="24" t="s">
        <v>44</v>
      </c>
      <c r="D59" s="24" t="s">
        <v>326</v>
      </c>
      <c r="E59" s="24" t="s">
        <v>149</v>
      </c>
      <c r="F59" s="23">
        <v>2025</v>
      </c>
      <c r="G59" s="25">
        <v>169000</v>
      </c>
      <c r="H59" s="26">
        <v>850</v>
      </c>
      <c r="I59" s="24" t="s">
        <v>63</v>
      </c>
      <c r="J59" s="24" t="s">
        <v>327</v>
      </c>
      <c r="K59" s="24" t="s">
        <v>328</v>
      </c>
      <c r="L59" s="24" t="s">
        <v>50</v>
      </c>
      <c r="M59" s="24" t="s">
        <v>329</v>
      </c>
      <c r="N59" s="24" t="s">
        <v>67</v>
      </c>
    </row>
    <row r="60" spans="2:14" x14ac:dyDescent="0.3">
      <c r="B60" s="19">
        <v>60</v>
      </c>
      <c r="C60" s="20" t="s">
        <v>330</v>
      </c>
      <c r="D60" s="20" t="s">
        <v>331</v>
      </c>
      <c r="E60" s="20" t="s">
        <v>182</v>
      </c>
      <c r="F60" s="19">
        <v>2024</v>
      </c>
      <c r="G60" s="21">
        <v>268900</v>
      </c>
      <c r="H60" s="22">
        <v>1400</v>
      </c>
      <c r="I60" s="20" t="s">
        <v>47</v>
      </c>
      <c r="J60" s="20" t="s">
        <v>332</v>
      </c>
      <c r="K60" s="20" t="s">
        <v>80</v>
      </c>
      <c r="L60" s="20" t="s">
        <v>50</v>
      </c>
      <c r="M60" s="20" t="s">
        <v>333</v>
      </c>
      <c r="N60" s="20" t="s">
        <v>52</v>
      </c>
    </row>
    <row r="61" spans="2:14" x14ac:dyDescent="0.3">
      <c r="B61" s="23">
        <v>61</v>
      </c>
      <c r="C61" s="24" t="s">
        <v>334</v>
      </c>
      <c r="D61" s="24" t="s">
        <v>335</v>
      </c>
      <c r="E61" s="24" t="s">
        <v>84</v>
      </c>
      <c r="F61" s="23">
        <v>2023</v>
      </c>
      <c r="G61" s="25">
        <v>101300</v>
      </c>
      <c r="H61" s="26">
        <v>12700</v>
      </c>
      <c r="I61" s="24" t="s">
        <v>56</v>
      </c>
      <c r="J61" s="24" t="s">
        <v>336</v>
      </c>
      <c r="K61" s="24" t="s">
        <v>65</v>
      </c>
      <c r="L61" s="24" t="s">
        <v>50</v>
      </c>
      <c r="M61" s="24" t="s">
        <v>337</v>
      </c>
      <c r="N61" s="24" t="s">
        <v>74</v>
      </c>
    </row>
    <row r="62" spans="2:14" x14ac:dyDescent="0.3">
      <c r="B62" s="19">
        <v>62</v>
      </c>
      <c r="C62" s="20" t="s">
        <v>338</v>
      </c>
      <c r="D62" s="20" t="s">
        <v>339</v>
      </c>
      <c r="E62" s="20" t="s">
        <v>69</v>
      </c>
      <c r="F62" s="19">
        <v>2021</v>
      </c>
      <c r="G62" s="21">
        <v>66750</v>
      </c>
      <c r="H62" s="22">
        <v>29800</v>
      </c>
      <c r="I62" s="20" t="s">
        <v>70</v>
      </c>
      <c r="J62" s="20" t="s">
        <v>340</v>
      </c>
      <c r="K62" s="20" t="s">
        <v>246</v>
      </c>
      <c r="L62" s="20" t="s">
        <v>50</v>
      </c>
      <c r="M62" s="20" t="s">
        <v>341</v>
      </c>
      <c r="N62" s="20" t="s">
        <v>52</v>
      </c>
    </row>
    <row r="63" spans="2:14" x14ac:dyDescent="0.3">
      <c r="B63" s="23">
        <v>63</v>
      </c>
      <c r="C63" s="24" t="s">
        <v>342</v>
      </c>
      <c r="D63" s="24" t="s">
        <v>343</v>
      </c>
      <c r="E63" s="24" t="s">
        <v>155</v>
      </c>
      <c r="F63" s="23">
        <v>2024</v>
      </c>
      <c r="G63" s="25">
        <v>127900</v>
      </c>
      <c r="H63" s="26">
        <v>7500</v>
      </c>
      <c r="I63" s="24" t="s">
        <v>92</v>
      </c>
      <c r="J63" s="24" t="s">
        <v>344</v>
      </c>
      <c r="K63" s="24" t="s">
        <v>174</v>
      </c>
      <c r="L63" s="24" t="s">
        <v>50</v>
      </c>
      <c r="M63" s="24" t="s">
        <v>345</v>
      </c>
      <c r="N63" s="24" t="s">
        <v>67</v>
      </c>
    </row>
    <row r="64" spans="2:14" x14ac:dyDescent="0.3">
      <c r="B64" s="19">
        <v>64</v>
      </c>
      <c r="C64" s="20" t="s">
        <v>346</v>
      </c>
      <c r="D64" s="20" t="s">
        <v>347</v>
      </c>
      <c r="E64" s="20" t="s">
        <v>133</v>
      </c>
      <c r="F64" s="19">
        <v>2025</v>
      </c>
      <c r="G64" s="21">
        <v>200000</v>
      </c>
      <c r="H64" s="22">
        <v>1950</v>
      </c>
      <c r="I64" s="20" t="s">
        <v>56</v>
      </c>
      <c r="J64" s="20" t="s">
        <v>348</v>
      </c>
      <c r="K64" s="20" t="s">
        <v>201</v>
      </c>
      <c r="L64" s="20" t="s">
        <v>50</v>
      </c>
      <c r="M64" s="20" t="s">
        <v>349</v>
      </c>
      <c r="N64" s="20" t="s">
        <v>52</v>
      </c>
    </row>
    <row r="65" spans="2:14" x14ac:dyDescent="0.3">
      <c r="B65" s="23">
        <v>65</v>
      </c>
      <c r="C65" s="24" t="s">
        <v>350</v>
      </c>
      <c r="D65" s="24" t="s">
        <v>351</v>
      </c>
      <c r="E65" s="24" t="s">
        <v>140</v>
      </c>
      <c r="F65" s="23">
        <v>2023</v>
      </c>
      <c r="G65" s="25">
        <v>132000</v>
      </c>
      <c r="H65" s="26">
        <v>8800</v>
      </c>
      <c r="I65" s="24" t="s">
        <v>134</v>
      </c>
      <c r="J65" s="24" t="s">
        <v>352</v>
      </c>
      <c r="K65" s="24" t="s">
        <v>353</v>
      </c>
      <c r="L65" s="24" t="s">
        <v>50</v>
      </c>
      <c r="M65" s="24" t="s">
        <v>354</v>
      </c>
      <c r="N65" s="24" t="s">
        <v>223</v>
      </c>
    </row>
    <row r="66" spans="2:14" x14ac:dyDescent="0.3">
      <c r="B66" s="19">
        <v>66</v>
      </c>
      <c r="C66" s="20" t="s">
        <v>355</v>
      </c>
      <c r="D66" s="20" t="s">
        <v>356</v>
      </c>
      <c r="E66" s="20" t="s">
        <v>199</v>
      </c>
      <c r="F66" s="19">
        <v>2024</v>
      </c>
      <c r="G66" s="21">
        <v>176400</v>
      </c>
      <c r="H66" s="22">
        <v>600</v>
      </c>
      <c r="I66" s="20" t="s">
        <v>47</v>
      </c>
      <c r="J66" s="20" t="s">
        <v>357</v>
      </c>
      <c r="K66" s="20" t="s">
        <v>65</v>
      </c>
      <c r="L66" s="20" t="s">
        <v>50</v>
      </c>
      <c r="M66" s="20" t="s">
        <v>358</v>
      </c>
      <c r="N66" s="20" t="s">
        <v>52</v>
      </c>
    </row>
    <row r="67" spans="2:14" x14ac:dyDescent="0.3">
      <c r="B67" s="23">
        <v>67</v>
      </c>
      <c r="C67" s="24" t="s">
        <v>44</v>
      </c>
      <c r="D67" s="24" t="s">
        <v>359</v>
      </c>
      <c r="E67" s="24" t="s">
        <v>211</v>
      </c>
      <c r="F67" s="23">
        <v>2022</v>
      </c>
      <c r="G67" s="25">
        <v>108500</v>
      </c>
      <c r="H67" s="26">
        <v>16200</v>
      </c>
      <c r="I67" s="24" t="s">
        <v>78</v>
      </c>
      <c r="J67" s="24" t="s">
        <v>360</v>
      </c>
      <c r="K67" s="24" t="s">
        <v>361</v>
      </c>
      <c r="L67" s="24" t="s">
        <v>50</v>
      </c>
      <c r="M67" s="24" t="s">
        <v>362</v>
      </c>
      <c r="N67" s="24" t="s">
        <v>88</v>
      </c>
    </row>
    <row r="68" spans="2:14" x14ac:dyDescent="0.3">
      <c r="B68" s="19">
        <v>68</v>
      </c>
      <c r="C68" s="20" t="s">
        <v>363</v>
      </c>
      <c r="D68" s="20" t="s">
        <v>364</v>
      </c>
      <c r="E68" s="20" t="s">
        <v>145</v>
      </c>
      <c r="F68" s="19">
        <v>2021</v>
      </c>
      <c r="G68" s="21">
        <v>59000</v>
      </c>
      <c r="H68" s="22">
        <v>36000</v>
      </c>
      <c r="I68" s="20" t="s">
        <v>63</v>
      </c>
      <c r="J68" s="20" t="s">
        <v>365</v>
      </c>
      <c r="K68" s="20" t="s">
        <v>157</v>
      </c>
      <c r="L68" s="20" t="s">
        <v>50</v>
      </c>
      <c r="M68" s="20" t="s">
        <v>366</v>
      </c>
      <c r="N68" s="20" t="s">
        <v>137</v>
      </c>
    </row>
    <row r="69" spans="2:14" x14ac:dyDescent="0.3">
      <c r="B69" s="23">
        <v>69</v>
      </c>
      <c r="C69" s="24" t="s">
        <v>367</v>
      </c>
      <c r="D69" s="24" t="s">
        <v>368</v>
      </c>
      <c r="E69" s="24" t="s">
        <v>221</v>
      </c>
      <c r="F69" s="23">
        <v>2025</v>
      </c>
      <c r="G69" s="25">
        <v>218000</v>
      </c>
      <c r="H69" s="26">
        <v>0</v>
      </c>
      <c r="I69" s="24" t="s">
        <v>56</v>
      </c>
      <c r="J69" s="24" t="s">
        <v>369</v>
      </c>
      <c r="K69" s="24" t="s">
        <v>251</v>
      </c>
      <c r="L69" s="24" t="s">
        <v>50</v>
      </c>
      <c r="M69" s="24" t="s">
        <v>370</v>
      </c>
      <c r="N69" s="24" t="s">
        <v>74</v>
      </c>
    </row>
    <row r="70" spans="2:14" x14ac:dyDescent="0.3">
      <c r="B70" s="19">
        <v>70</v>
      </c>
      <c r="C70" s="20" t="s">
        <v>44</v>
      </c>
      <c r="D70" s="20" t="s">
        <v>371</v>
      </c>
      <c r="E70" s="20" t="s">
        <v>160</v>
      </c>
      <c r="F70" s="19">
        <v>2024</v>
      </c>
      <c r="G70" s="21">
        <v>99950</v>
      </c>
      <c r="H70" s="22">
        <v>5300</v>
      </c>
      <c r="I70" s="20" t="s">
        <v>104</v>
      </c>
      <c r="J70" s="20" t="s">
        <v>372</v>
      </c>
      <c r="K70" s="20" t="s">
        <v>361</v>
      </c>
      <c r="L70" s="20" t="s">
        <v>50</v>
      </c>
      <c r="M70" s="20" t="s">
        <v>373</v>
      </c>
      <c r="N70" s="20" t="s">
        <v>52</v>
      </c>
    </row>
    <row r="71" spans="2:14" x14ac:dyDescent="0.3">
      <c r="B71" s="23">
        <v>71</v>
      </c>
      <c r="C71" s="24" t="s">
        <v>321</v>
      </c>
      <c r="D71" s="24" t="s">
        <v>374</v>
      </c>
      <c r="E71" s="24" t="s">
        <v>205</v>
      </c>
      <c r="F71" s="23">
        <v>2024</v>
      </c>
      <c r="G71" s="25">
        <v>121750</v>
      </c>
      <c r="H71" s="26">
        <v>5872</v>
      </c>
      <c r="I71" s="24" t="s">
        <v>47</v>
      </c>
      <c r="J71" s="24" t="s">
        <v>375</v>
      </c>
      <c r="K71" s="24" t="s">
        <v>113</v>
      </c>
      <c r="L71" s="24" t="s">
        <v>50</v>
      </c>
      <c r="M71" s="24" t="s">
        <v>376</v>
      </c>
      <c r="N71" s="24" t="s">
        <v>52</v>
      </c>
    </row>
    <row r="72" spans="2:14" x14ac:dyDescent="0.3">
      <c r="B72" s="19">
        <v>72</v>
      </c>
      <c r="C72" s="20" t="s">
        <v>377</v>
      </c>
      <c r="D72" s="20" t="s">
        <v>378</v>
      </c>
      <c r="E72" s="20" t="s">
        <v>379</v>
      </c>
      <c r="F72" s="19">
        <v>2023</v>
      </c>
      <c r="G72" s="21">
        <v>91500</v>
      </c>
      <c r="H72" s="22">
        <v>13300</v>
      </c>
      <c r="I72" s="20" t="s">
        <v>92</v>
      </c>
      <c r="J72" s="20" t="s">
        <v>380</v>
      </c>
      <c r="K72" s="20" t="s">
        <v>124</v>
      </c>
      <c r="L72" s="20" t="s">
        <v>50</v>
      </c>
      <c r="M72" s="20" t="s">
        <v>381</v>
      </c>
      <c r="N72" s="20" t="s">
        <v>108</v>
      </c>
    </row>
    <row r="73" spans="2:14" x14ac:dyDescent="0.3">
      <c r="B73" s="23">
        <v>73</v>
      </c>
      <c r="C73" s="24" t="s">
        <v>382</v>
      </c>
      <c r="D73" s="24" t="s">
        <v>383</v>
      </c>
      <c r="E73" s="24" t="s">
        <v>128</v>
      </c>
      <c r="F73" s="23">
        <v>2022</v>
      </c>
      <c r="G73" s="25">
        <v>134000</v>
      </c>
      <c r="H73" s="26">
        <v>20100</v>
      </c>
      <c r="I73" s="24" t="s">
        <v>56</v>
      </c>
      <c r="J73" s="24" t="s">
        <v>384</v>
      </c>
      <c r="K73" s="24" t="s">
        <v>94</v>
      </c>
      <c r="L73" s="24" t="s">
        <v>50</v>
      </c>
      <c r="M73" s="24" t="s">
        <v>120</v>
      </c>
      <c r="N73" s="24" t="s">
        <v>67</v>
      </c>
    </row>
    <row r="74" spans="2:14" x14ac:dyDescent="0.3">
      <c r="B74" s="19">
        <v>74</v>
      </c>
      <c r="C74" s="20" t="s">
        <v>385</v>
      </c>
      <c r="D74" s="20" t="s">
        <v>386</v>
      </c>
      <c r="E74" s="20" t="s">
        <v>111</v>
      </c>
      <c r="F74" s="19">
        <v>2024</v>
      </c>
      <c r="G74" s="21">
        <v>96800</v>
      </c>
      <c r="H74" s="22">
        <v>0</v>
      </c>
      <c r="I74" s="20" t="s">
        <v>118</v>
      </c>
      <c r="J74" s="20" t="s">
        <v>387</v>
      </c>
      <c r="K74" s="20" t="s">
        <v>157</v>
      </c>
      <c r="L74" s="20" t="s">
        <v>50</v>
      </c>
      <c r="M74" s="20" t="s">
        <v>125</v>
      </c>
      <c r="N74" s="20" t="s">
        <v>52</v>
      </c>
    </row>
    <row r="75" spans="2:14" x14ac:dyDescent="0.3">
      <c r="B75" s="23">
        <v>75</v>
      </c>
      <c r="C75" s="24" t="s">
        <v>388</v>
      </c>
      <c r="D75" s="24" t="s">
        <v>389</v>
      </c>
      <c r="E75" s="24" t="s">
        <v>77</v>
      </c>
      <c r="F75" s="23">
        <v>2025</v>
      </c>
      <c r="G75" s="25">
        <v>131600</v>
      </c>
      <c r="H75" s="26">
        <v>2900</v>
      </c>
      <c r="I75" s="24" t="s">
        <v>56</v>
      </c>
      <c r="J75" s="24" t="s">
        <v>390</v>
      </c>
      <c r="K75" s="24" t="s">
        <v>65</v>
      </c>
      <c r="L75" s="24" t="s">
        <v>50</v>
      </c>
      <c r="M75" s="24" t="s">
        <v>130</v>
      </c>
      <c r="N75" s="24" t="s">
        <v>100</v>
      </c>
    </row>
    <row r="76" spans="2:14" x14ac:dyDescent="0.3">
      <c r="B76" s="19">
        <v>76</v>
      </c>
      <c r="C76" s="20" t="s">
        <v>391</v>
      </c>
      <c r="D76" s="20" t="s">
        <v>392</v>
      </c>
      <c r="E76" s="20" t="s">
        <v>97</v>
      </c>
      <c r="F76" s="19">
        <v>2023</v>
      </c>
      <c r="G76" s="21">
        <v>94300</v>
      </c>
      <c r="H76" s="22">
        <v>13100</v>
      </c>
      <c r="I76" s="20" t="s">
        <v>70</v>
      </c>
      <c r="J76" s="20" t="s">
        <v>393</v>
      </c>
      <c r="K76" s="20" t="s">
        <v>240</v>
      </c>
      <c r="L76" s="20" t="s">
        <v>50</v>
      </c>
      <c r="M76" s="20" t="s">
        <v>136</v>
      </c>
      <c r="N76" s="20" t="s">
        <v>52</v>
      </c>
    </row>
    <row r="77" spans="2:14" x14ac:dyDescent="0.3">
      <c r="B77" s="23">
        <v>77</v>
      </c>
      <c r="C77" s="24" t="s">
        <v>394</v>
      </c>
      <c r="D77" s="24" t="s">
        <v>395</v>
      </c>
      <c r="E77" s="24" t="s">
        <v>55</v>
      </c>
      <c r="F77" s="23">
        <v>2025</v>
      </c>
      <c r="G77" s="25">
        <v>242000</v>
      </c>
      <c r="H77" s="26">
        <v>1100</v>
      </c>
      <c r="I77" s="24" t="s">
        <v>134</v>
      </c>
      <c r="J77" s="24" t="s">
        <v>396</v>
      </c>
      <c r="K77" s="24" t="s">
        <v>65</v>
      </c>
      <c r="L77" s="24" t="s">
        <v>50</v>
      </c>
      <c r="M77" s="24" t="s">
        <v>142</v>
      </c>
      <c r="N77" s="24" t="s">
        <v>186</v>
      </c>
    </row>
    <row r="78" spans="2:14" x14ac:dyDescent="0.3">
      <c r="B78" s="19">
        <v>78</v>
      </c>
      <c r="C78" s="20" t="s">
        <v>397</v>
      </c>
      <c r="D78" s="20" t="s">
        <v>398</v>
      </c>
      <c r="E78" s="20" t="s">
        <v>399</v>
      </c>
      <c r="F78" s="19">
        <v>2022</v>
      </c>
      <c r="G78" s="21">
        <v>82750</v>
      </c>
      <c r="H78" s="22">
        <v>22500</v>
      </c>
      <c r="I78" s="20" t="s">
        <v>47</v>
      </c>
      <c r="J78" s="20" t="s">
        <v>400</v>
      </c>
      <c r="K78" s="20" t="s">
        <v>201</v>
      </c>
      <c r="L78" s="20" t="s">
        <v>50</v>
      </c>
      <c r="M78" s="20" t="s">
        <v>147</v>
      </c>
      <c r="N78" s="20" t="s">
        <v>88</v>
      </c>
    </row>
    <row r="79" spans="2:14" x14ac:dyDescent="0.3">
      <c r="B79" s="23">
        <v>79</v>
      </c>
      <c r="C79" s="24" t="s">
        <v>401</v>
      </c>
      <c r="D79" s="24" t="s">
        <v>402</v>
      </c>
      <c r="E79" s="24" t="s">
        <v>178</v>
      </c>
      <c r="F79" s="23">
        <v>2026</v>
      </c>
      <c r="G79" s="25">
        <v>91300</v>
      </c>
      <c r="H79" s="26">
        <v>0</v>
      </c>
      <c r="I79" s="24" t="s">
        <v>56</v>
      </c>
      <c r="J79" s="24" t="s">
        <v>403</v>
      </c>
      <c r="K79" s="24" t="s">
        <v>80</v>
      </c>
      <c r="L79" s="24" t="s">
        <v>50</v>
      </c>
      <c r="M79" s="24" t="s">
        <v>152</v>
      </c>
      <c r="N79" s="24" t="s">
        <v>52</v>
      </c>
    </row>
    <row r="80" spans="2:14" x14ac:dyDescent="0.3">
      <c r="B80" s="19">
        <v>80</v>
      </c>
      <c r="C80" s="20" t="s">
        <v>404</v>
      </c>
      <c r="D80" s="20" t="s">
        <v>405</v>
      </c>
      <c r="E80" s="20" t="s">
        <v>172</v>
      </c>
      <c r="F80" s="19">
        <v>2021</v>
      </c>
      <c r="G80" s="21">
        <v>79900</v>
      </c>
      <c r="H80" s="22">
        <v>44800</v>
      </c>
      <c r="I80" s="20" t="s">
        <v>63</v>
      </c>
      <c r="J80" s="20" t="s">
        <v>406</v>
      </c>
      <c r="K80" s="20" t="s">
        <v>65</v>
      </c>
      <c r="L80" s="20" t="s">
        <v>50</v>
      </c>
      <c r="M80" s="20" t="s">
        <v>158</v>
      </c>
      <c r="N80" s="20" t="s">
        <v>74</v>
      </c>
    </row>
    <row r="81" spans="2:14" x14ac:dyDescent="0.3">
      <c r="B81" s="23">
        <v>81</v>
      </c>
      <c r="C81" s="24" t="s">
        <v>44</v>
      </c>
      <c r="D81" s="24" t="s">
        <v>407</v>
      </c>
      <c r="E81" s="24" t="s">
        <v>62</v>
      </c>
      <c r="F81" s="23">
        <v>2024</v>
      </c>
      <c r="G81" s="25">
        <v>111000</v>
      </c>
      <c r="H81" s="26">
        <v>6700</v>
      </c>
      <c r="I81" s="24" t="s">
        <v>78</v>
      </c>
      <c r="J81" s="24" t="s">
        <v>408</v>
      </c>
      <c r="K81" s="24" t="s">
        <v>65</v>
      </c>
      <c r="L81" s="24" t="s">
        <v>50</v>
      </c>
      <c r="M81" s="24" t="s">
        <v>163</v>
      </c>
      <c r="N81" s="24" t="s">
        <v>67</v>
      </c>
    </row>
    <row r="82" spans="2:14" x14ac:dyDescent="0.3">
      <c r="B82" s="19">
        <v>82</v>
      </c>
      <c r="C82" s="20" t="s">
        <v>409</v>
      </c>
      <c r="D82" s="20" t="s">
        <v>410</v>
      </c>
      <c r="E82" s="20" t="s">
        <v>166</v>
      </c>
      <c r="F82" s="19">
        <v>2023</v>
      </c>
      <c r="G82" s="21">
        <v>156500</v>
      </c>
      <c r="H82" s="22">
        <v>4200</v>
      </c>
      <c r="I82" s="20" t="s">
        <v>70</v>
      </c>
      <c r="J82" s="20" t="s">
        <v>411</v>
      </c>
      <c r="K82" s="20" t="s">
        <v>268</v>
      </c>
      <c r="L82" s="20" t="s">
        <v>50</v>
      </c>
      <c r="M82" s="20" t="s">
        <v>169</v>
      </c>
      <c r="N82" s="20" t="s">
        <v>52</v>
      </c>
    </row>
    <row r="83" spans="2:14" x14ac:dyDescent="0.3">
      <c r="B83" s="23">
        <v>83</v>
      </c>
      <c r="C83" s="24" t="s">
        <v>412</v>
      </c>
      <c r="D83" s="24" t="s">
        <v>413</v>
      </c>
      <c r="E83" s="24" t="s">
        <v>238</v>
      </c>
      <c r="F83" s="23">
        <v>2025</v>
      </c>
      <c r="G83" s="25">
        <v>119900</v>
      </c>
      <c r="H83" s="26">
        <v>1250</v>
      </c>
      <c r="I83" s="24" t="s">
        <v>92</v>
      </c>
      <c r="J83" s="24" t="s">
        <v>414</v>
      </c>
      <c r="K83" s="24" t="s">
        <v>113</v>
      </c>
      <c r="L83" s="24" t="s">
        <v>50</v>
      </c>
      <c r="M83" s="24" t="s">
        <v>175</v>
      </c>
      <c r="N83" s="24" t="s">
        <v>74</v>
      </c>
    </row>
    <row r="84" spans="2:14" x14ac:dyDescent="0.3">
      <c r="B84" s="19">
        <v>84</v>
      </c>
      <c r="C84" s="20" t="s">
        <v>44</v>
      </c>
      <c r="D84" s="20" t="s">
        <v>415</v>
      </c>
      <c r="E84" s="20" t="s">
        <v>216</v>
      </c>
      <c r="F84" s="19">
        <v>2022</v>
      </c>
      <c r="G84" s="21">
        <v>73200</v>
      </c>
      <c r="H84" s="22">
        <v>18600</v>
      </c>
      <c r="I84" s="20" t="s">
        <v>56</v>
      </c>
      <c r="J84" s="20" t="s">
        <v>416</v>
      </c>
      <c r="K84" s="20" t="s">
        <v>268</v>
      </c>
      <c r="L84" s="20" t="s">
        <v>50</v>
      </c>
      <c r="M84" s="20" t="s">
        <v>180</v>
      </c>
      <c r="N84" s="20" t="s">
        <v>52</v>
      </c>
    </row>
    <row r="85" spans="2:14" x14ac:dyDescent="0.3">
      <c r="B85" s="23">
        <v>85</v>
      </c>
      <c r="C85" s="24" t="s">
        <v>417</v>
      </c>
      <c r="D85" s="24" t="s">
        <v>418</v>
      </c>
      <c r="E85" s="24" t="s">
        <v>122</v>
      </c>
      <c r="F85" s="23">
        <v>2024</v>
      </c>
      <c r="G85" s="25">
        <v>224000</v>
      </c>
      <c r="H85" s="26">
        <v>3000</v>
      </c>
      <c r="I85" s="24" t="s">
        <v>56</v>
      </c>
      <c r="J85" s="24" t="s">
        <v>419</v>
      </c>
      <c r="K85" s="24" t="s">
        <v>420</v>
      </c>
      <c r="L85" s="24" t="s">
        <v>50</v>
      </c>
      <c r="M85" s="24" t="s">
        <v>185</v>
      </c>
      <c r="N85" s="24" t="s">
        <v>137</v>
      </c>
    </row>
    <row r="86" spans="2:14" x14ac:dyDescent="0.3">
      <c r="B86" s="19">
        <v>86</v>
      </c>
      <c r="C86" s="20" t="s">
        <v>421</v>
      </c>
      <c r="D86" s="20" t="s">
        <v>422</v>
      </c>
      <c r="E86" s="20" t="s">
        <v>225</v>
      </c>
      <c r="F86" s="19">
        <v>2024</v>
      </c>
      <c r="G86" s="21">
        <v>126900</v>
      </c>
      <c r="H86" s="22">
        <v>7200</v>
      </c>
      <c r="I86" s="20" t="s">
        <v>47</v>
      </c>
      <c r="J86" s="20" t="s">
        <v>146</v>
      </c>
      <c r="K86" s="20" t="s">
        <v>86</v>
      </c>
      <c r="L86" s="20" t="s">
        <v>50</v>
      </c>
      <c r="M86" s="20" t="s">
        <v>423</v>
      </c>
      <c r="N86" s="20" t="s">
        <v>52</v>
      </c>
    </row>
    <row r="87" spans="2:14" x14ac:dyDescent="0.3">
      <c r="B87" s="23">
        <v>87</v>
      </c>
      <c r="C87" s="24" t="s">
        <v>424</v>
      </c>
      <c r="D87" s="24" t="s">
        <v>425</v>
      </c>
      <c r="E87" s="24" t="s">
        <v>194</v>
      </c>
      <c r="F87" s="23">
        <v>2023</v>
      </c>
      <c r="G87" s="25">
        <v>84500</v>
      </c>
      <c r="H87" s="26">
        <v>21400</v>
      </c>
      <c r="I87" s="24" t="s">
        <v>78</v>
      </c>
      <c r="J87" s="24" t="s">
        <v>129</v>
      </c>
      <c r="K87" s="24" t="s">
        <v>80</v>
      </c>
      <c r="L87" s="24" t="s">
        <v>50</v>
      </c>
      <c r="M87" s="24" t="s">
        <v>426</v>
      </c>
      <c r="N87" s="24" t="s">
        <v>74</v>
      </c>
    </row>
    <row r="88" spans="2:14" x14ac:dyDescent="0.3">
      <c r="B88" s="19">
        <v>88</v>
      </c>
      <c r="C88" s="20" t="s">
        <v>427</v>
      </c>
      <c r="D88" s="20" t="s">
        <v>428</v>
      </c>
      <c r="E88" s="20" t="s">
        <v>69</v>
      </c>
      <c r="F88" s="19">
        <v>2022</v>
      </c>
      <c r="G88" s="21">
        <v>69800</v>
      </c>
      <c r="H88" s="22">
        <v>26300</v>
      </c>
      <c r="I88" s="20" t="s">
        <v>63</v>
      </c>
      <c r="J88" s="20" t="s">
        <v>226</v>
      </c>
      <c r="K88" s="20" t="s">
        <v>86</v>
      </c>
      <c r="L88" s="20" t="s">
        <v>50</v>
      </c>
      <c r="M88" s="20" t="s">
        <v>66</v>
      </c>
      <c r="N88" s="20" t="s">
        <v>52</v>
      </c>
    </row>
    <row r="89" spans="2:14" x14ac:dyDescent="0.3">
      <c r="B89" s="23">
        <v>89</v>
      </c>
      <c r="C89" s="24" t="s">
        <v>44</v>
      </c>
      <c r="D89" s="24" t="s">
        <v>429</v>
      </c>
      <c r="E89" s="24" t="s">
        <v>77</v>
      </c>
      <c r="F89" s="23">
        <v>2025</v>
      </c>
      <c r="G89" s="25">
        <v>132700</v>
      </c>
      <c r="H89" s="26">
        <v>0</v>
      </c>
      <c r="I89" s="24" t="s">
        <v>56</v>
      </c>
      <c r="J89" s="24" t="s">
        <v>71</v>
      </c>
      <c r="K89" s="24" t="s">
        <v>72</v>
      </c>
      <c r="L89" s="24" t="s">
        <v>50</v>
      </c>
      <c r="M89" s="24" t="s">
        <v>430</v>
      </c>
      <c r="N89" s="24" t="s">
        <v>67</v>
      </c>
    </row>
    <row r="90" spans="2:14" x14ac:dyDescent="0.3">
      <c r="B90" s="19">
        <v>90</v>
      </c>
      <c r="C90" s="20" t="s">
        <v>431</v>
      </c>
      <c r="D90" s="20" t="s">
        <v>432</v>
      </c>
      <c r="E90" s="20" t="s">
        <v>172</v>
      </c>
      <c r="F90" s="19">
        <v>2021</v>
      </c>
      <c r="G90" s="21">
        <v>81000</v>
      </c>
      <c r="H90" s="22">
        <v>42</v>
      </c>
      <c r="I90" s="20" t="s">
        <v>70</v>
      </c>
      <c r="J90" s="20" t="s">
        <v>64</v>
      </c>
      <c r="K90" s="20" t="s">
        <v>65</v>
      </c>
      <c r="L90" s="20" t="s">
        <v>50</v>
      </c>
      <c r="M90" s="20" t="s">
        <v>81</v>
      </c>
      <c r="N90" s="20" t="s">
        <v>52</v>
      </c>
    </row>
    <row r="91" spans="2:14" x14ac:dyDescent="0.3">
      <c r="B91" s="23">
        <v>91</v>
      </c>
      <c r="C91" s="24" t="s">
        <v>433</v>
      </c>
      <c r="D91" s="24" t="s">
        <v>434</v>
      </c>
      <c r="E91" s="24" t="s">
        <v>46</v>
      </c>
      <c r="F91" s="23">
        <v>2023</v>
      </c>
      <c r="G91" s="25">
        <v>78900</v>
      </c>
      <c r="H91" s="26">
        <v>17500</v>
      </c>
      <c r="I91" s="24" t="s">
        <v>104</v>
      </c>
      <c r="J91" s="24" t="s">
        <v>57</v>
      </c>
      <c r="K91" s="24" t="s">
        <v>58</v>
      </c>
      <c r="L91" s="24" t="s">
        <v>50</v>
      </c>
      <c r="M91" s="24" t="s">
        <v>252</v>
      </c>
      <c r="N91" s="24" t="s">
        <v>88</v>
      </c>
    </row>
    <row r="92" spans="2:14" x14ac:dyDescent="0.3">
      <c r="B92" s="19">
        <v>92</v>
      </c>
      <c r="C92" s="20" t="s">
        <v>435</v>
      </c>
      <c r="D92" s="20" t="s">
        <v>436</v>
      </c>
      <c r="E92" s="20" t="s">
        <v>55</v>
      </c>
      <c r="F92" s="19">
        <v>2026</v>
      </c>
      <c r="G92" s="21">
        <v>249300</v>
      </c>
      <c r="H92" s="22">
        <v>900</v>
      </c>
      <c r="I92" s="20" t="s">
        <v>56</v>
      </c>
      <c r="J92" s="20" t="s">
        <v>48</v>
      </c>
      <c r="K92" s="20" t="s">
        <v>49</v>
      </c>
      <c r="L92" s="20" t="s">
        <v>50</v>
      </c>
      <c r="M92" s="20" t="s">
        <v>437</v>
      </c>
      <c r="N92" s="20" t="s">
        <v>137</v>
      </c>
    </row>
    <row r="93" spans="2:14" x14ac:dyDescent="0.3">
      <c r="B93" s="23">
        <v>93</v>
      </c>
      <c r="C93" s="24" t="s">
        <v>44</v>
      </c>
      <c r="D93" s="24" t="s">
        <v>438</v>
      </c>
      <c r="E93" s="24" t="s">
        <v>62</v>
      </c>
      <c r="F93" s="23">
        <v>2024</v>
      </c>
      <c r="G93" s="25">
        <v>108750</v>
      </c>
      <c r="H93" s="26">
        <v>5530</v>
      </c>
      <c r="I93" s="24" t="s">
        <v>56</v>
      </c>
      <c r="J93" s="24" t="s">
        <v>112</v>
      </c>
      <c r="K93" s="24" t="s">
        <v>113</v>
      </c>
      <c r="L93" s="24" t="s">
        <v>50</v>
      </c>
      <c r="M93" s="24" t="s">
        <v>261</v>
      </c>
      <c r="N93" s="24" t="s">
        <v>100</v>
      </c>
    </row>
    <row r="94" spans="2:14" x14ac:dyDescent="0.3">
      <c r="B94" s="19">
        <v>94</v>
      </c>
      <c r="C94" s="20" t="s">
        <v>44</v>
      </c>
      <c r="D94" s="20" t="s">
        <v>439</v>
      </c>
      <c r="E94" s="20" t="s">
        <v>178</v>
      </c>
      <c r="F94" s="19">
        <v>2026</v>
      </c>
      <c r="G94" s="21">
        <v>92600</v>
      </c>
      <c r="H94" s="22">
        <v>0</v>
      </c>
      <c r="I94" s="20" t="s">
        <v>63</v>
      </c>
      <c r="J94" s="20" t="s">
        <v>105</v>
      </c>
      <c r="K94" s="20" t="s">
        <v>106</v>
      </c>
      <c r="L94" s="20" t="s">
        <v>50</v>
      </c>
      <c r="M94" s="20" t="s">
        <v>264</v>
      </c>
      <c r="N94" s="20" t="s">
        <v>108</v>
      </c>
    </row>
    <row r="95" spans="2:14" x14ac:dyDescent="0.3">
      <c r="B95" s="23">
        <v>95</v>
      </c>
      <c r="C95" s="24" t="s">
        <v>440</v>
      </c>
      <c r="D95" s="24" t="s">
        <v>441</v>
      </c>
      <c r="E95" s="24" t="s">
        <v>117</v>
      </c>
      <c r="F95" s="23">
        <v>2025</v>
      </c>
      <c r="G95" s="25">
        <v>164000</v>
      </c>
      <c r="H95" s="26">
        <v>0</v>
      </c>
      <c r="I95" s="24" t="s">
        <v>118</v>
      </c>
      <c r="J95" s="24" t="s">
        <v>119</v>
      </c>
      <c r="K95" s="24" t="s">
        <v>65</v>
      </c>
      <c r="L95" s="24" t="s">
        <v>50</v>
      </c>
      <c r="M95" s="24" t="s">
        <v>269</v>
      </c>
      <c r="N95" s="24" t="s">
        <v>67</v>
      </c>
    </row>
    <row r="96" spans="2:14" x14ac:dyDescent="0.3">
      <c r="B96" s="19">
        <v>96</v>
      </c>
      <c r="C96" s="20" t="s">
        <v>442</v>
      </c>
      <c r="D96" s="20" t="s">
        <v>443</v>
      </c>
      <c r="E96" s="20" t="s">
        <v>244</v>
      </c>
      <c r="F96" s="19">
        <v>2024</v>
      </c>
      <c r="G96" s="21">
        <v>119000</v>
      </c>
      <c r="H96" s="22">
        <v>13400</v>
      </c>
      <c r="I96" s="20" t="s">
        <v>47</v>
      </c>
      <c r="J96" s="20" t="s">
        <v>444</v>
      </c>
      <c r="K96" s="20" t="s">
        <v>80</v>
      </c>
      <c r="L96" s="20" t="s">
        <v>50</v>
      </c>
      <c r="M96" s="20" t="s">
        <v>274</v>
      </c>
      <c r="N96" s="20" t="s">
        <v>52</v>
      </c>
    </row>
    <row r="97" spans="2:14" x14ac:dyDescent="0.3">
      <c r="B97" s="23">
        <v>97</v>
      </c>
      <c r="C97" s="24" t="s">
        <v>44</v>
      </c>
      <c r="D97" s="24" t="s">
        <v>445</v>
      </c>
      <c r="E97" s="24" t="s">
        <v>122</v>
      </c>
      <c r="F97" s="23">
        <v>2026</v>
      </c>
      <c r="G97" s="25">
        <v>232500</v>
      </c>
      <c r="H97" s="26">
        <v>1700</v>
      </c>
      <c r="I97" s="24" t="s">
        <v>56</v>
      </c>
      <c r="J97" s="24" t="s">
        <v>123</v>
      </c>
      <c r="K97" s="24" t="s">
        <v>124</v>
      </c>
      <c r="L97" s="24" t="s">
        <v>50</v>
      </c>
      <c r="M97" s="24" t="s">
        <v>278</v>
      </c>
      <c r="N97" s="24" t="s">
        <v>74</v>
      </c>
    </row>
    <row r="98" spans="2:14" x14ac:dyDescent="0.3">
      <c r="B98" s="19">
        <v>98</v>
      </c>
      <c r="C98" s="20" t="s">
        <v>446</v>
      </c>
      <c r="D98" s="20" t="s">
        <v>447</v>
      </c>
      <c r="E98" s="20" t="s">
        <v>97</v>
      </c>
      <c r="F98" s="19">
        <v>2023</v>
      </c>
      <c r="G98" s="21">
        <v>96800</v>
      </c>
      <c r="H98" s="22">
        <v>14000</v>
      </c>
      <c r="I98" s="20" t="s">
        <v>92</v>
      </c>
      <c r="J98" s="20" t="s">
        <v>156</v>
      </c>
      <c r="K98" s="20" t="s">
        <v>157</v>
      </c>
      <c r="L98" s="20" t="s">
        <v>50</v>
      </c>
      <c r="M98" s="20" t="s">
        <v>282</v>
      </c>
      <c r="N98" s="20" t="s">
        <v>52</v>
      </c>
    </row>
    <row r="99" spans="2:14" x14ac:dyDescent="0.3">
      <c r="B99" s="23">
        <v>99</v>
      </c>
      <c r="C99" s="24" t="s">
        <v>448</v>
      </c>
      <c r="D99" s="24" t="s">
        <v>449</v>
      </c>
      <c r="E99" s="24" t="s">
        <v>216</v>
      </c>
      <c r="F99" s="23">
        <v>2022</v>
      </c>
      <c r="G99" s="25">
        <v>74400</v>
      </c>
      <c r="H99" s="26">
        <v>20750</v>
      </c>
      <c r="I99" s="24" t="s">
        <v>70</v>
      </c>
      <c r="J99" s="24" t="s">
        <v>285</v>
      </c>
      <c r="K99" s="24" t="s">
        <v>113</v>
      </c>
      <c r="L99" s="24" t="s">
        <v>50</v>
      </c>
      <c r="M99" s="24" t="s">
        <v>286</v>
      </c>
      <c r="N99" s="24" t="s">
        <v>186</v>
      </c>
    </row>
    <row r="100" spans="2:14" x14ac:dyDescent="0.3">
      <c r="B100" s="19">
        <v>100</v>
      </c>
      <c r="C100" s="20" t="s">
        <v>450</v>
      </c>
      <c r="D100" s="20" t="s">
        <v>288</v>
      </c>
      <c r="E100" s="20" t="s">
        <v>189</v>
      </c>
      <c r="F100" s="19">
        <v>2025</v>
      </c>
      <c r="G100" s="21">
        <v>148500</v>
      </c>
      <c r="H100" s="22">
        <v>5200</v>
      </c>
      <c r="I100" s="20" t="s">
        <v>134</v>
      </c>
      <c r="J100" s="20" t="s">
        <v>12</v>
      </c>
      <c r="K100" s="20" t="s">
        <v>141</v>
      </c>
      <c r="L100" s="20" t="s">
        <v>50</v>
      </c>
      <c r="M100" s="20" t="s">
        <v>289</v>
      </c>
      <c r="N100" s="20" t="s">
        <v>52</v>
      </c>
    </row>
    <row r="101" spans="2:14" x14ac:dyDescent="0.3">
      <c r="B101" s="23">
        <v>101</v>
      </c>
      <c r="C101" s="24" t="s">
        <v>451</v>
      </c>
      <c r="D101" s="24" t="s">
        <v>291</v>
      </c>
      <c r="E101" s="24" t="s">
        <v>103</v>
      </c>
      <c r="F101" s="23">
        <v>2021</v>
      </c>
      <c r="G101" s="25">
        <v>71900</v>
      </c>
      <c r="H101" s="26">
        <v>29600</v>
      </c>
      <c r="I101" s="24" t="s">
        <v>78</v>
      </c>
      <c r="J101" s="24" t="s">
        <v>292</v>
      </c>
      <c r="K101" s="24" t="s">
        <v>80</v>
      </c>
      <c r="L101" s="24" t="s">
        <v>50</v>
      </c>
      <c r="M101" s="24" t="s">
        <v>293</v>
      </c>
      <c r="N101" s="24" t="s">
        <v>74</v>
      </c>
    </row>
    <row r="102" spans="2:14" x14ac:dyDescent="0.3">
      <c r="B102" s="19">
        <v>102</v>
      </c>
      <c r="C102" s="20" t="s">
        <v>44</v>
      </c>
      <c r="D102" s="20" t="s">
        <v>294</v>
      </c>
      <c r="E102" s="20" t="s">
        <v>295</v>
      </c>
      <c r="F102" s="19">
        <v>2024</v>
      </c>
      <c r="G102" s="21">
        <v>143250</v>
      </c>
      <c r="H102" s="22">
        <v>3100</v>
      </c>
      <c r="I102" s="20" t="s">
        <v>63</v>
      </c>
      <c r="J102" s="20" t="s">
        <v>296</v>
      </c>
      <c r="K102" s="20" t="s">
        <v>80</v>
      </c>
      <c r="L102" s="20" t="s">
        <v>50</v>
      </c>
      <c r="M102" s="20" t="s">
        <v>297</v>
      </c>
      <c r="N102" s="20" t="s">
        <v>67</v>
      </c>
    </row>
    <row r="103" spans="2:14" x14ac:dyDescent="0.3">
      <c r="B103" s="23">
        <v>103</v>
      </c>
      <c r="C103" s="24" t="s">
        <v>452</v>
      </c>
      <c r="D103" s="24" t="s">
        <v>299</v>
      </c>
      <c r="E103" s="24" t="s">
        <v>272</v>
      </c>
      <c r="F103" s="23">
        <v>2020</v>
      </c>
      <c r="G103" s="25">
        <v>137500</v>
      </c>
      <c r="H103" s="26">
        <v>48000</v>
      </c>
      <c r="I103" s="24" t="s">
        <v>56</v>
      </c>
      <c r="J103" s="24" t="s">
        <v>300</v>
      </c>
      <c r="K103" s="24" t="s">
        <v>301</v>
      </c>
      <c r="L103" s="24" t="s">
        <v>50</v>
      </c>
      <c r="M103" s="24" t="s">
        <v>302</v>
      </c>
      <c r="N103" s="24" t="s">
        <v>52</v>
      </c>
    </row>
    <row r="104" spans="2:14" x14ac:dyDescent="0.3">
      <c r="B104" s="19">
        <v>104</v>
      </c>
      <c r="C104" s="20" t="s">
        <v>453</v>
      </c>
      <c r="D104" s="20" t="s">
        <v>304</v>
      </c>
      <c r="E104" s="20" t="s">
        <v>133</v>
      </c>
      <c r="F104" s="19">
        <v>2025</v>
      </c>
      <c r="G104" s="21">
        <v>204800</v>
      </c>
      <c r="H104" s="22">
        <v>3300</v>
      </c>
      <c r="I104" s="20" t="s">
        <v>47</v>
      </c>
      <c r="J104" s="20" t="s">
        <v>306</v>
      </c>
      <c r="K104" s="20" t="s">
        <v>307</v>
      </c>
      <c r="L104" s="20" t="s">
        <v>50</v>
      </c>
      <c r="M104" s="20" t="s">
        <v>308</v>
      </c>
      <c r="N104" s="20" t="s">
        <v>74</v>
      </c>
    </row>
    <row r="105" spans="2:14" x14ac:dyDescent="0.3">
      <c r="B105" s="23">
        <v>105</v>
      </c>
      <c r="C105" s="24" t="s">
        <v>454</v>
      </c>
      <c r="D105" s="24" t="s">
        <v>310</v>
      </c>
      <c r="E105" s="24" t="s">
        <v>182</v>
      </c>
      <c r="F105" s="23">
        <v>2024</v>
      </c>
      <c r="G105" s="25">
        <v>271700</v>
      </c>
      <c r="H105" s="26">
        <v>1050</v>
      </c>
      <c r="I105" s="24" t="s">
        <v>92</v>
      </c>
      <c r="J105" s="24" t="s">
        <v>311</v>
      </c>
      <c r="K105" s="24" t="s">
        <v>312</v>
      </c>
      <c r="L105" s="24" t="s">
        <v>50</v>
      </c>
      <c r="M105" s="24" t="s">
        <v>313</v>
      </c>
      <c r="N105" s="24" t="s">
        <v>52</v>
      </c>
    </row>
  </sheetData>
  <mergeCells count="2">
    <mergeCell ref="B2:N2"/>
    <mergeCell ref="B3:N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95"/>
  <sheetViews>
    <sheetView showGridLines="0" topLeftCell="A70" zoomScaleNormal="100" workbookViewId="0">
      <selection activeCell="D87" sqref="C87:D93"/>
    </sheetView>
  </sheetViews>
  <sheetFormatPr defaultColWidth="8.6640625" defaultRowHeight="14.4" x14ac:dyDescent="0.3"/>
  <cols>
    <col min="2" max="2" width="10" customWidth="1"/>
    <col min="3" max="3" width="18" customWidth="1"/>
    <col min="4" max="4" width="14" customWidth="1"/>
    <col min="5" max="5" width="16" customWidth="1"/>
    <col min="6" max="6" width="14" customWidth="1"/>
    <col min="7" max="7" width="22" customWidth="1"/>
  </cols>
  <sheetData>
    <row r="2" spans="2:7" ht="34.5" customHeight="1" x14ac:dyDescent="0.3">
      <c r="B2" s="7" t="s">
        <v>455</v>
      </c>
      <c r="C2" s="7"/>
      <c r="D2" s="7"/>
      <c r="E2" s="7"/>
      <c r="F2" s="7"/>
      <c r="G2" s="7"/>
    </row>
    <row r="5" spans="2:7" ht="24.75" customHeight="1" x14ac:dyDescent="0.3">
      <c r="B5" s="18" t="s">
        <v>456</v>
      </c>
      <c r="C5" s="18" t="s">
        <v>39</v>
      </c>
      <c r="D5" s="18" t="s">
        <v>457</v>
      </c>
      <c r="E5" s="18" t="s">
        <v>3</v>
      </c>
      <c r="F5" s="18" t="s">
        <v>7</v>
      </c>
      <c r="G5" s="18" t="s">
        <v>9</v>
      </c>
    </row>
    <row r="6" spans="2:7" x14ac:dyDescent="0.3">
      <c r="B6" s="27">
        <v>1</v>
      </c>
      <c r="C6" s="28" t="s">
        <v>123</v>
      </c>
      <c r="D6" s="27">
        <v>2</v>
      </c>
      <c r="E6" s="29">
        <v>473500</v>
      </c>
      <c r="F6" s="29">
        <v>236750</v>
      </c>
      <c r="G6" s="28" t="s">
        <v>122</v>
      </c>
    </row>
    <row r="7" spans="2:7" x14ac:dyDescent="0.3">
      <c r="B7" s="30">
        <v>2</v>
      </c>
      <c r="C7" s="31" t="s">
        <v>12</v>
      </c>
      <c r="D7" s="30">
        <v>3</v>
      </c>
      <c r="E7" s="32">
        <v>434800</v>
      </c>
      <c r="F7" s="32">
        <v>144933.33333333299</v>
      </c>
      <c r="G7" s="31" t="s">
        <v>140</v>
      </c>
    </row>
    <row r="8" spans="2:7" x14ac:dyDescent="0.3">
      <c r="B8" s="27">
        <v>3</v>
      </c>
      <c r="C8" s="28" t="s">
        <v>311</v>
      </c>
      <c r="D8" s="27">
        <v>2</v>
      </c>
      <c r="E8" s="29">
        <v>361400</v>
      </c>
      <c r="F8" s="29">
        <v>180700</v>
      </c>
      <c r="G8" s="28" t="s">
        <v>178</v>
      </c>
    </row>
    <row r="9" spans="2:7" x14ac:dyDescent="0.3">
      <c r="B9" s="30">
        <v>4</v>
      </c>
      <c r="C9" s="31" t="s">
        <v>306</v>
      </c>
      <c r="D9" s="30">
        <v>2</v>
      </c>
      <c r="E9" s="32">
        <v>351600</v>
      </c>
      <c r="F9" s="32">
        <v>175800</v>
      </c>
      <c r="G9" s="31" t="s">
        <v>305</v>
      </c>
    </row>
    <row r="10" spans="2:7" x14ac:dyDescent="0.3">
      <c r="B10" s="27">
        <v>5</v>
      </c>
      <c r="C10" s="28" t="s">
        <v>48</v>
      </c>
      <c r="D10" s="27">
        <v>2</v>
      </c>
      <c r="E10" s="29">
        <v>328800</v>
      </c>
      <c r="F10" s="29">
        <v>164400</v>
      </c>
      <c r="G10" s="28" t="s">
        <v>46</v>
      </c>
    </row>
    <row r="11" spans="2:7" x14ac:dyDescent="0.3">
      <c r="B11" s="30">
        <v>6</v>
      </c>
      <c r="C11" s="31" t="s">
        <v>119</v>
      </c>
      <c r="D11" s="30">
        <v>2</v>
      </c>
      <c r="E11" s="32">
        <v>317200.5</v>
      </c>
      <c r="F11" s="32">
        <v>158600.25</v>
      </c>
      <c r="G11" s="31" t="s">
        <v>117</v>
      </c>
    </row>
    <row r="12" spans="2:7" x14ac:dyDescent="0.3">
      <c r="B12" s="27">
        <v>7</v>
      </c>
      <c r="C12" s="28" t="s">
        <v>57</v>
      </c>
      <c r="D12" s="27">
        <v>2</v>
      </c>
      <c r="E12" s="29">
        <v>313900</v>
      </c>
      <c r="F12" s="29">
        <v>156950</v>
      </c>
      <c r="G12" s="28" t="s">
        <v>55</v>
      </c>
    </row>
    <row r="13" spans="2:7" x14ac:dyDescent="0.3">
      <c r="B13" s="30">
        <v>8</v>
      </c>
      <c r="C13" s="31" t="s">
        <v>98</v>
      </c>
      <c r="D13" s="30">
        <v>2</v>
      </c>
      <c r="E13" s="32">
        <v>303750</v>
      </c>
      <c r="F13" s="32">
        <v>151875</v>
      </c>
      <c r="G13" s="31" t="s">
        <v>97</v>
      </c>
    </row>
    <row r="14" spans="2:7" x14ac:dyDescent="0.3">
      <c r="B14" s="27">
        <v>9</v>
      </c>
      <c r="C14" s="28" t="s">
        <v>277</v>
      </c>
      <c r="D14" s="27">
        <v>1</v>
      </c>
      <c r="E14" s="29">
        <v>286500</v>
      </c>
      <c r="F14" s="29">
        <v>286500</v>
      </c>
      <c r="G14" s="28" t="s">
        <v>276</v>
      </c>
    </row>
    <row r="15" spans="2:7" x14ac:dyDescent="0.3">
      <c r="B15" s="30">
        <v>10</v>
      </c>
      <c r="C15" s="31" t="s">
        <v>296</v>
      </c>
      <c r="D15" s="30">
        <v>2</v>
      </c>
      <c r="E15" s="32">
        <v>284500</v>
      </c>
      <c r="F15" s="32">
        <v>142250</v>
      </c>
      <c r="G15" s="31" t="s">
        <v>295</v>
      </c>
    </row>
    <row r="16" spans="2:7" x14ac:dyDescent="0.3">
      <c r="B16" s="27">
        <v>11</v>
      </c>
      <c r="C16" s="28" t="s">
        <v>183</v>
      </c>
      <c r="D16" s="27">
        <v>1</v>
      </c>
      <c r="E16" s="29">
        <v>270000</v>
      </c>
      <c r="F16" s="29">
        <v>270000</v>
      </c>
      <c r="G16" s="28" t="s">
        <v>182</v>
      </c>
    </row>
    <row r="17" spans="2:7" x14ac:dyDescent="0.3">
      <c r="B17" s="30">
        <v>12</v>
      </c>
      <c r="C17" s="31" t="s">
        <v>332</v>
      </c>
      <c r="D17" s="30">
        <v>1</v>
      </c>
      <c r="E17" s="32">
        <v>268900</v>
      </c>
      <c r="F17" s="32">
        <v>268900</v>
      </c>
      <c r="G17" s="31" t="s">
        <v>182</v>
      </c>
    </row>
    <row r="18" spans="2:7" x14ac:dyDescent="0.3">
      <c r="B18" s="27">
        <v>13</v>
      </c>
      <c r="C18" s="28" t="s">
        <v>396</v>
      </c>
      <c r="D18" s="27">
        <v>1</v>
      </c>
      <c r="E18" s="29">
        <v>242000</v>
      </c>
      <c r="F18" s="29">
        <v>242000</v>
      </c>
      <c r="G18" s="28" t="s">
        <v>55</v>
      </c>
    </row>
    <row r="19" spans="2:7" x14ac:dyDescent="0.3">
      <c r="B19" s="30">
        <v>14</v>
      </c>
      <c r="C19" s="31" t="s">
        <v>419</v>
      </c>
      <c r="D19" s="30">
        <v>1</v>
      </c>
      <c r="E19" s="32">
        <v>224000</v>
      </c>
      <c r="F19" s="32">
        <v>224000</v>
      </c>
      <c r="G19" s="31" t="s">
        <v>122</v>
      </c>
    </row>
    <row r="20" spans="2:7" x14ac:dyDescent="0.3">
      <c r="B20" s="27">
        <v>15</v>
      </c>
      <c r="C20" s="28" t="s">
        <v>369</v>
      </c>
      <c r="D20" s="27">
        <v>1</v>
      </c>
      <c r="E20" s="29">
        <v>218000</v>
      </c>
      <c r="F20" s="29">
        <v>218000</v>
      </c>
      <c r="G20" s="28" t="s">
        <v>221</v>
      </c>
    </row>
    <row r="21" spans="2:7" x14ac:dyDescent="0.3">
      <c r="B21" s="30">
        <v>16</v>
      </c>
      <c r="C21" s="31" t="s">
        <v>129</v>
      </c>
      <c r="D21" s="30">
        <v>2</v>
      </c>
      <c r="E21" s="32">
        <v>216500</v>
      </c>
      <c r="F21" s="32">
        <v>108250</v>
      </c>
      <c r="G21" s="31" t="s">
        <v>128</v>
      </c>
    </row>
    <row r="22" spans="2:7" x14ac:dyDescent="0.3">
      <c r="B22" s="27">
        <v>17</v>
      </c>
      <c r="C22" s="28" t="s">
        <v>156</v>
      </c>
      <c r="D22" s="27">
        <v>2</v>
      </c>
      <c r="E22" s="29">
        <v>215300</v>
      </c>
      <c r="F22" s="29">
        <v>107650</v>
      </c>
      <c r="G22" s="28" t="s">
        <v>155</v>
      </c>
    </row>
    <row r="23" spans="2:7" x14ac:dyDescent="0.3">
      <c r="B23" s="30">
        <v>18</v>
      </c>
      <c r="C23" s="31" t="s">
        <v>300</v>
      </c>
      <c r="D23" s="30">
        <v>2</v>
      </c>
      <c r="E23" s="32">
        <v>209000</v>
      </c>
      <c r="F23" s="32">
        <v>104500</v>
      </c>
      <c r="G23" s="31" t="s">
        <v>172</v>
      </c>
    </row>
    <row r="24" spans="2:7" x14ac:dyDescent="0.3">
      <c r="B24" s="27">
        <v>19</v>
      </c>
      <c r="C24" s="28" t="s">
        <v>112</v>
      </c>
      <c r="D24" s="27">
        <v>2</v>
      </c>
      <c r="E24" s="29">
        <v>203750</v>
      </c>
      <c r="F24" s="29">
        <v>101875</v>
      </c>
      <c r="G24" s="28" t="s">
        <v>111</v>
      </c>
    </row>
    <row r="25" spans="2:7" x14ac:dyDescent="0.3">
      <c r="B25" s="30">
        <v>20</v>
      </c>
      <c r="C25" s="31" t="s">
        <v>71</v>
      </c>
      <c r="D25" s="30">
        <v>2</v>
      </c>
      <c r="E25" s="32">
        <v>201600</v>
      </c>
      <c r="F25" s="32">
        <v>100800</v>
      </c>
      <c r="G25" s="31" t="s">
        <v>69</v>
      </c>
    </row>
    <row r="26" spans="2:7" x14ac:dyDescent="0.3">
      <c r="B26" s="27">
        <v>21</v>
      </c>
      <c r="C26" s="28" t="s">
        <v>348</v>
      </c>
      <c r="D26" s="27">
        <v>1</v>
      </c>
      <c r="E26" s="29">
        <v>200000</v>
      </c>
      <c r="F26" s="29">
        <v>200000</v>
      </c>
      <c r="G26" s="28" t="s">
        <v>133</v>
      </c>
    </row>
    <row r="27" spans="2:7" x14ac:dyDescent="0.3">
      <c r="B27" s="30">
        <v>22</v>
      </c>
      <c r="C27" s="31" t="s">
        <v>256</v>
      </c>
      <c r="D27" s="30">
        <v>1</v>
      </c>
      <c r="E27" s="32">
        <v>198300</v>
      </c>
      <c r="F27" s="32">
        <v>198300</v>
      </c>
      <c r="G27" s="31" t="s">
        <v>255</v>
      </c>
    </row>
    <row r="28" spans="2:7" x14ac:dyDescent="0.3">
      <c r="B28" s="27">
        <v>23</v>
      </c>
      <c r="C28" s="28" t="s">
        <v>226</v>
      </c>
      <c r="D28" s="27">
        <v>2</v>
      </c>
      <c r="E28" s="29">
        <v>194300</v>
      </c>
      <c r="F28" s="29">
        <v>97150</v>
      </c>
      <c r="G28" s="28" t="s">
        <v>225</v>
      </c>
    </row>
    <row r="29" spans="2:7" x14ac:dyDescent="0.3">
      <c r="B29" s="30">
        <v>24</v>
      </c>
      <c r="C29" s="31" t="s">
        <v>64</v>
      </c>
      <c r="D29" s="30">
        <v>2</v>
      </c>
      <c r="E29" s="32">
        <v>193750</v>
      </c>
      <c r="F29" s="32">
        <v>96875</v>
      </c>
      <c r="G29" s="31" t="s">
        <v>62</v>
      </c>
    </row>
    <row r="30" spans="2:7" x14ac:dyDescent="0.3">
      <c r="B30" s="27">
        <v>25</v>
      </c>
      <c r="C30" s="28" t="s">
        <v>135</v>
      </c>
      <c r="D30" s="27">
        <v>1</v>
      </c>
      <c r="E30" s="29">
        <v>188000</v>
      </c>
      <c r="F30" s="29">
        <v>188000</v>
      </c>
      <c r="G30" s="28" t="s">
        <v>133</v>
      </c>
    </row>
    <row r="31" spans="2:7" x14ac:dyDescent="0.3">
      <c r="B31" s="30">
        <v>26</v>
      </c>
      <c r="C31" s="31" t="s">
        <v>146</v>
      </c>
      <c r="D31" s="30">
        <v>2</v>
      </c>
      <c r="E31" s="32">
        <v>185800</v>
      </c>
      <c r="F31" s="32">
        <v>92900</v>
      </c>
      <c r="G31" s="31" t="s">
        <v>145</v>
      </c>
    </row>
    <row r="32" spans="2:7" x14ac:dyDescent="0.3">
      <c r="B32" s="27">
        <v>27</v>
      </c>
      <c r="C32" s="28" t="s">
        <v>357</v>
      </c>
      <c r="D32" s="27">
        <v>1</v>
      </c>
      <c r="E32" s="29">
        <v>176400</v>
      </c>
      <c r="F32" s="29">
        <v>176400</v>
      </c>
      <c r="G32" s="28" t="s">
        <v>199</v>
      </c>
    </row>
    <row r="33" spans="2:7" x14ac:dyDescent="0.3">
      <c r="B33" s="30">
        <v>28</v>
      </c>
      <c r="C33" s="31" t="s">
        <v>200</v>
      </c>
      <c r="D33" s="30">
        <v>1</v>
      </c>
      <c r="E33" s="32">
        <v>173600</v>
      </c>
      <c r="F33" s="32">
        <v>173600</v>
      </c>
      <c r="G33" s="31" t="s">
        <v>199</v>
      </c>
    </row>
    <row r="34" spans="2:7" x14ac:dyDescent="0.3">
      <c r="B34" s="27">
        <v>29</v>
      </c>
      <c r="C34" s="28" t="s">
        <v>327</v>
      </c>
      <c r="D34" s="27">
        <v>1</v>
      </c>
      <c r="E34" s="29">
        <v>169000</v>
      </c>
      <c r="F34" s="29">
        <v>169000</v>
      </c>
      <c r="G34" s="28" t="s">
        <v>149</v>
      </c>
    </row>
    <row r="35" spans="2:7" x14ac:dyDescent="0.3">
      <c r="B35" s="30">
        <v>30</v>
      </c>
      <c r="C35" s="31" t="s">
        <v>105</v>
      </c>
      <c r="D35" s="30">
        <v>2</v>
      </c>
      <c r="E35" s="32">
        <v>166100</v>
      </c>
      <c r="F35" s="32">
        <v>83050</v>
      </c>
      <c r="G35" s="31" t="s">
        <v>103</v>
      </c>
    </row>
    <row r="36" spans="2:7" x14ac:dyDescent="0.3">
      <c r="B36" s="27">
        <v>31</v>
      </c>
      <c r="C36" s="28" t="s">
        <v>150</v>
      </c>
      <c r="D36" s="27">
        <v>1</v>
      </c>
      <c r="E36" s="29">
        <v>164000</v>
      </c>
      <c r="F36" s="29">
        <v>164000</v>
      </c>
      <c r="G36" s="28" t="s">
        <v>149</v>
      </c>
    </row>
    <row r="37" spans="2:7" x14ac:dyDescent="0.3">
      <c r="B37" s="30">
        <v>32</v>
      </c>
      <c r="C37" s="31" t="s">
        <v>167</v>
      </c>
      <c r="D37" s="30">
        <v>1</v>
      </c>
      <c r="E37" s="32">
        <v>158750</v>
      </c>
      <c r="F37" s="32">
        <v>158750</v>
      </c>
      <c r="G37" s="31" t="s">
        <v>166</v>
      </c>
    </row>
    <row r="38" spans="2:7" x14ac:dyDescent="0.3">
      <c r="B38" s="27">
        <v>33</v>
      </c>
      <c r="C38" s="28" t="s">
        <v>411</v>
      </c>
      <c r="D38" s="27">
        <v>1</v>
      </c>
      <c r="E38" s="29">
        <v>156500</v>
      </c>
      <c r="F38" s="29">
        <v>156500</v>
      </c>
      <c r="G38" s="28" t="s">
        <v>166</v>
      </c>
    </row>
    <row r="39" spans="2:7" x14ac:dyDescent="0.3">
      <c r="B39" s="30">
        <v>34</v>
      </c>
      <c r="C39" s="31" t="s">
        <v>285</v>
      </c>
      <c r="D39" s="30">
        <v>2</v>
      </c>
      <c r="E39" s="32">
        <v>146800</v>
      </c>
      <c r="F39" s="32">
        <v>73400</v>
      </c>
      <c r="G39" s="31" t="s">
        <v>216</v>
      </c>
    </row>
    <row r="40" spans="2:7" x14ac:dyDescent="0.3">
      <c r="B40" s="27">
        <v>35</v>
      </c>
      <c r="C40" s="28" t="s">
        <v>320</v>
      </c>
      <c r="D40" s="27">
        <v>1</v>
      </c>
      <c r="E40" s="29">
        <v>142000</v>
      </c>
      <c r="F40" s="29">
        <v>142000</v>
      </c>
      <c r="G40" s="28" t="s">
        <v>189</v>
      </c>
    </row>
    <row r="41" spans="2:7" x14ac:dyDescent="0.3">
      <c r="B41" s="30">
        <v>36</v>
      </c>
      <c r="C41" s="31" t="s">
        <v>292</v>
      </c>
      <c r="D41" s="30">
        <v>2</v>
      </c>
      <c r="E41" s="32">
        <v>141800</v>
      </c>
      <c r="F41" s="32">
        <v>70900</v>
      </c>
      <c r="G41" s="31" t="s">
        <v>46</v>
      </c>
    </row>
    <row r="42" spans="2:7" x14ac:dyDescent="0.3">
      <c r="B42" s="27">
        <v>37</v>
      </c>
      <c r="C42" s="28" t="s">
        <v>190</v>
      </c>
      <c r="D42" s="27">
        <v>1</v>
      </c>
      <c r="E42" s="29">
        <v>139000</v>
      </c>
      <c r="F42" s="29">
        <v>139000</v>
      </c>
      <c r="G42" s="28" t="s">
        <v>189</v>
      </c>
    </row>
    <row r="43" spans="2:7" x14ac:dyDescent="0.3">
      <c r="B43" s="30">
        <v>38</v>
      </c>
      <c r="C43" s="31" t="s">
        <v>273</v>
      </c>
      <c r="D43" s="30">
        <v>1</v>
      </c>
      <c r="E43" s="32">
        <v>136000</v>
      </c>
      <c r="F43" s="32">
        <v>136000</v>
      </c>
      <c r="G43" s="31" t="s">
        <v>272</v>
      </c>
    </row>
    <row r="44" spans="2:7" x14ac:dyDescent="0.3">
      <c r="B44" s="27">
        <v>39</v>
      </c>
      <c r="C44" s="28" t="s">
        <v>384</v>
      </c>
      <c r="D44" s="27">
        <v>1</v>
      </c>
      <c r="E44" s="29">
        <v>134000</v>
      </c>
      <c r="F44" s="29">
        <v>134000</v>
      </c>
      <c r="G44" s="28" t="s">
        <v>128</v>
      </c>
    </row>
    <row r="45" spans="2:7" x14ac:dyDescent="0.3">
      <c r="B45" s="30">
        <v>40</v>
      </c>
      <c r="C45" s="31" t="s">
        <v>352</v>
      </c>
      <c r="D45" s="30">
        <v>1</v>
      </c>
      <c r="E45" s="32">
        <v>132000</v>
      </c>
      <c r="F45" s="32">
        <v>132000</v>
      </c>
      <c r="G45" s="31" t="s">
        <v>140</v>
      </c>
    </row>
    <row r="46" spans="2:7" x14ac:dyDescent="0.3">
      <c r="B46" s="27">
        <v>41</v>
      </c>
      <c r="C46" s="28" t="s">
        <v>390</v>
      </c>
      <c r="D46" s="27">
        <v>1</v>
      </c>
      <c r="E46" s="29">
        <v>131600</v>
      </c>
      <c r="F46" s="29">
        <v>131600</v>
      </c>
      <c r="G46" s="28" t="s">
        <v>77</v>
      </c>
    </row>
    <row r="47" spans="2:7" x14ac:dyDescent="0.3">
      <c r="B47" s="30">
        <v>42</v>
      </c>
      <c r="C47" s="31" t="s">
        <v>267</v>
      </c>
      <c r="D47" s="30">
        <v>1</v>
      </c>
      <c r="E47" s="32">
        <v>129000</v>
      </c>
      <c r="F47" s="32">
        <v>129000</v>
      </c>
      <c r="G47" s="31" t="s">
        <v>77</v>
      </c>
    </row>
    <row r="48" spans="2:7" x14ac:dyDescent="0.3">
      <c r="B48" s="27">
        <v>43</v>
      </c>
      <c r="C48" s="28" t="s">
        <v>344</v>
      </c>
      <c r="D48" s="27">
        <v>1</v>
      </c>
      <c r="E48" s="29">
        <v>127900</v>
      </c>
      <c r="F48" s="29">
        <v>127900</v>
      </c>
      <c r="G48" s="28" t="s">
        <v>155</v>
      </c>
    </row>
    <row r="49" spans="2:7" x14ac:dyDescent="0.3">
      <c r="B49" s="30">
        <v>44</v>
      </c>
      <c r="C49" s="31" t="s">
        <v>375</v>
      </c>
      <c r="D49" s="30">
        <v>1</v>
      </c>
      <c r="E49" s="32">
        <v>121750</v>
      </c>
      <c r="F49" s="32">
        <v>121750</v>
      </c>
      <c r="G49" s="31" t="s">
        <v>205</v>
      </c>
    </row>
    <row r="50" spans="2:7" x14ac:dyDescent="0.3">
      <c r="B50" s="27">
        <v>45</v>
      </c>
      <c r="C50" s="28" t="s">
        <v>79</v>
      </c>
      <c r="D50" s="27">
        <v>1</v>
      </c>
      <c r="E50" s="29">
        <v>121000</v>
      </c>
      <c r="F50" s="29">
        <v>121000</v>
      </c>
      <c r="G50" s="28" t="s">
        <v>77</v>
      </c>
    </row>
    <row r="51" spans="2:7" x14ac:dyDescent="0.3">
      <c r="B51" s="30">
        <v>46</v>
      </c>
      <c r="C51" s="31" t="s">
        <v>414</v>
      </c>
      <c r="D51" s="30">
        <v>1</v>
      </c>
      <c r="E51" s="32">
        <v>119900</v>
      </c>
      <c r="F51" s="32">
        <v>119900</v>
      </c>
      <c r="G51" s="31" t="s">
        <v>238</v>
      </c>
    </row>
    <row r="52" spans="2:7" x14ac:dyDescent="0.3">
      <c r="B52" s="27">
        <v>47</v>
      </c>
      <c r="C52" s="28" t="s">
        <v>206</v>
      </c>
      <c r="D52" s="27">
        <v>1</v>
      </c>
      <c r="E52" s="29">
        <v>119900</v>
      </c>
      <c r="F52" s="29">
        <v>119900</v>
      </c>
      <c r="G52" s="28" t="s">
        <v>205</v>
      </c>
    </row>
    <row r="53" spans="2:7" x14ac:dyDescent="0.3">
      <c r="B53" s="30">
        <v>48</v>
      </c>
      <c r="C53" s="31" t="s">
        <v>444</v>
      </c>
      <c r="D53" s="30">
        <v>1</v>
      </c>
      <c r="E53" s="32">
        <v>119000</v>
      </c>
      <c r="F53" s="32">
        <v>119000</v>
      </c>
      <c r="G53" s="31" t="s">
        <v>244</v>
      </c>
    </row>
    <row r="54" spans="2:7" x14ac:dyDescent="0.3">
      <c r="B54" s="27">
        <v>49</v>
      </c>
      <c r="C54" s="28" t="s">
        <v>239</v>
      </c>
      <c r="D54" s="27">
        <v>1</v>
      </c>
      <c r="E54" s="29">
        <v>116900</v>
      </c>
      <c r="F54" s="29">
        <v>116900</v>
      </c>
      <c r="G54" s="28" t="s">
        <v>238</v>
      </c>
    </row>
    <row r="55" spans="2:7" x14ac:dyDescent="0.3">
      <c r="B55" s="30">
        <v>50</v>
      </c>
      <c r="C55" s="31" t="s">
        <v>245</v>
      </c>
      <c r="D55" s="30">
        <v>1</v>
      </c>
      <c r="E55" s="32">
        <v>112000</v>
      </c>
      <c r="F55" s="32">
        <v>112000</v>
      </c>
      <c r="G55" s="31" t="s">
        <v>244</v>
      </c>
    </row>
    <row r="56" spans="2:7" x14ac:dyDescent="0.3">
      <c r="B56" s="27">
        <v>51</v>
      </c>
      <c r="C56" s="28" t="s">
        <v>408</v>
      </c>
      <c r="D56" s="27">
        <v>1</v>
      </c>
      <c r="E56" s="29">
        <v>111000</v>
      </c>
      <c r="F56" s="29">
        <v>111000</v>
      </c>
      <c r="G56" s="28" t="s">
        <v>62</v>
      </c>
    </row>
    <row r="57" spans="2:7" x14ac:dyDescent="0.3">
      <c r="B57" s="30">
        <v>52</v>
      </c>
      <c r="C57" s="31" t="s">
        <v>212</v>
      </c>
      <c r="D57" s="30">
        <v>1</v>
      </c>
      <c r="E57" s="32">
        <v>109250</v>
      </c>
      <c r="F57" s="32">
        <v>109250</v>
      </c>
      <c r="G57" s="31" t="s">
        <v>211</v>
      </c>
    </row>
    <row r="58" spans="2:7" x14ac:dyDescent="0.3">
      <c r="B58" s="27">
        <v>53</v>
      </c>
      <c r="C58" s="28" t="s">
        <v>360</v>
      </c>
      <c r="D58" s="27">
        <v>1</v>
      </c>
      <c r="E58" s="29">
        <v>108500</v>
      </c>
      <c r="F58" s="29">
        <v>108500</v>
      </c>
      <c r="G58" s="28" t="s">
        <v>211</v>
      </c>
    </row>
    <row r="59" spans="2:7" x14ac:dyDescent="0.3">
      <c r="B59" s="30">
        <v>54</v>
      </c>
      <c r="C59" s="31" t="s">
        <v>316</v>
      </c>
      <c r="D59" s="30">
        <v>1</v>
      </c>
      <c r="E59" s="32">
        <v>104600</v>
      </c>
      <c r="F59" s="32">
        <v>104600</v>
      </c>
      <c r="G59" s="31" t="s">
        <v>91</v>
      </c>
    </row>
    <row r="60" spans="2:7" x14ac:dyDescent="0.3">
      <c r="B60" s="27">
        <v>55</v>
      </c>
      <c r="C60" s="28" t="s">
        <v>85</v>
      </c>
      <c r="D60" s="27">
        <v>1</v>
      </c>
      <c r="E60" s="29">
        <v>104500</v>
      </c>
      <c r="F60" s="29">
        <v>104500</v>
      </c>
      <c r="G60" s="28" t="s">
        <v>84</v>
      </c>
    </row>
    <row r="61" spans="2:7" x14ac:dyDescent="0.3">
      <c r="B61" s="30">
        <v>56</v>
      </c>
      <c r="C61" s="31" t="s">
        <v>260</v>
      </c>
      <c r="D61" s="30">
        <v>1</v>
      </c>
      <c r="E61" s="32">
        <v>103750</v>
      </c>
      <c r="F61" s="32">
        <v>103750</v>
      </c>
      <c r="G61" s="31" t="s">
        <v>62</v>
      </c>
    </row>
    <row r="62" spans="2:7" x14ac:dyDescent="0.3">
      <c r="B62" s="27">
        <v>57</v>
      </c>
      <c r="C62" s="28" t="s">
        <v>336</v>
      </c>
      <c r="D62" s="27">
        <v>1</v>
      </c>
      <c r="E62" s="29">
        <v>101300</v>
      </c>
      <c r="F62" s="29">
        <v>101300</v>
      </c>
      <c r="G62" s="28" t="s">
        <v>84</v>
      </c>
    </row>
    <row r="63" spans="2:7" x14ac:dyDescent="0.3">
      <c r="B63" s="30">
        <v>58</v>
      </c>
      <c r="C63" s="31" t="s">
        <v>372</v>
      </c>
      <c r="D63" s="30">
        <v>1</v>
      </c>
      <c r="E63" s="32">
        <v>99950</v>
      </c>
      <c r="F63" s="32">
        <v>99950</v>
      </c>
      <c r="G63" s="31" t="s">
        <v>160</v>
      </c>
    </row>
    <row r="64" spans="2:7" x14ac:dyDescent="0.3">
      <c r="B64" s="27">
        <v>59</v>
      </c>
      <c r="C64" s="28" t="s">
        <v>230</v>
      </c>
      <c r="D64" s="27">
        <v>1</v>
      </c>
      <c r="E64" s="29">
        <v>98200</v>
      </c>
      <c r="F64" s="29">
        <v>98200</v>
      </c>
      <c r="G64" s="28" t="s">
        <v>160</v>
      </c>
    </row>
    <row r="65" spans="2:7" x14ac:dyDescent="0.3">
      <c r="B65" s="30">
        <v>60</v>
      </c>
      <c r="C65" s="31" t="s">
        <v>387</v>
      </c>
      <c r="D65" s="30">
        <v>1</v>
      </c>
      <c r="E65" s="32">
        <v>96800</v>
      </c>
      <c r="F65" s="32">
        <v>96800</v>
      </c>
      <c r="G65" s="31" t="s">
        <v>111</v>
      </c>
    </row>
    <row r="66" spans="2:7" x14ac:dyDescent="0.3">
      <c r="B66" s="27">
        <v>61</v>
      </c>
      <c r="C66" s="28" t="s">
        <v>93</v>
      </c>
      <c r="D66" s="27">
        <v>1</v>
      </c>
      <c r="E66" s="29">
        <v>96300</v>
      </c>
      <c r="F66" s="29">
        <v>96300</v>
      </c>
      <c r="G66" s="28" t="s">
        <v>91</v>
      </c>
    </row>
    <row r="67" spans="2:7" x14ac:dyDescent="0.3">
      <c r="B67" s="30">
        <v>62</v>
      </c>
      <c r="C67" s="31" t="s">
        <v>393</v>
      </c>
      <c r="D67" s="30">
        <v>1</v>
      </c>
      <c r="E67" s="32">
        <v>94300</v>
      </c>
      <c r="F67" s="32">
        <v>94300</v>
      </c>
      <c r="G67" s="31" t="s">
        <v>97</v>
      </c>
    </row>
    <row r="68" spans="2:7" x14ac:dyDescent="0.3">
      <c r="B68" s="27">
        <v>63</v>
      </c>
      <c r="C68" s="28" t="s">
        <v>263</v>
      </c>
      <c r="D68" s="27">
        <v>1</v>
      </c>
      <c r="E68" s="29">
        <v>93600</v>
      </c>
      <c r="F68" s="29">
        <v>93600</v>
      </c>
      <c r="G68" s="28" t="s">
        <v>111</v>
      </c>
    </row>
    <row r="69" spans="2:7" x14ac:dyDescent="0.3">
      <c r="B69" s="30">
        <v>64</v>
      </c>
      <c r="C69" s="31" t="s">
        <v>281</v>
      </c>
      <c r="D69" s="30">
        <v>1</v>
      </c>
      <c r="E69" s="32">
        <v>92800</v>
      </c>
      <c r="F69" s="32">
        <v>92800</v>
      </c>
      <c r="G69" s="31" t="s">
        <v>97</v>
      </c>
    </row>
    <row r="70" spans="2:7" x14ac:dyDescent="0.3">
      <c r="B70" s="27">
        <v>65</v>
      </c>
      <c r="C70" s="28" t="s">
        <v>380</v>
      </c>
      <c r="D70" s="27">
        <v>1</v>
      </c>
      <c r="E70" s="29">
        <v>91500</v>
      </c>
      <c r="F70" s="29">
        <v>91500</v>
      </c>
      <c r="G70" s="28" t="s">
        <v>379</v>
      </c>
    </row>
    <row r="71" spans="2:7" x14ac:dyDescent="0.3">
      <c r="B71" s="30">
        <v>66</v>
      </c>
      <c r="C71" s="31" t="s">
        <v>403</v>
      </c>
      <c r="D71" s="30">
        <v>1</v>
      </c>
      <c r="E71" s="32">
        <v>91300</v>
      </c>
      <c r="F71" s="32">
        <v>91300</v>
      </c>
      <c r="G71" s="31" t="s">
        <v>178</v>
      </c>
    </row>
    <row r="72" spans="2:7" x14ac:dyDescent="0.3">
      <c r="B72" s="27">
        <v>67</v>
      </c>
      <c r="C72" s="28" t="s">
        <v>161</v>
      </c>
      <c r="D72" s="27">
        <v>1</v>
      </c>
      <c r="E72" s="29">
        <v>91300</v>
      </c>
      <c r="F72" s="29">
        <v>91300</v>
      </c>
      <c r="G72" s="28" t="s">
        <v>160</v>
      </c>
    </row>
    <row r="73" spans="2:7" x14ac:dyDescent="0.3">
      <c r="B73" s="30">
        <v>68</v>
      </c>
      <c r="C73" s="31" t="s">
        <v>179</v>
      </c>
      <c r="D73" s="30">
        <v>1</v>
      </c>
      <c r="E73" s="32">
        <v>86500</v>
      </c>
      <c r="F73" s="32">
        <v>86500</v>
      </c>
      <c r="G73" s="31" t="s">
        <v>178</v>
      </c>
    </row>
    <row r="74" spans="2:7" x14ac:dyDescent="0.3">
      <c r="B74" s="27">
        <v>69</v>
      </c>
      <c r="C74" s="28" t="s">
        <v>400</v>
      </c>
      <c r="D74" s="27">
        <v>1</v>
      </c>
      <c r="E74" s="29">
        <v>82750</v>
      </c>
      <c r="F74" s="29">
        <v>82750</v>
      </c>
      <c r="G74" s="28" t="s">
        <v>399</v>
      </c>
    </row>
    <row r="75" spans="2:7" x14ac:dyDescent="0.3">
      <c r="B75" s="30">
        <v>70</v>
      </c>
      <c r="C75" s="31" t="s">
        <v>217</v>
      </c>
      <c r="D75" s="30">
        <v>1</v>
      </c>
      <c r="E75" s="32">
        <v>82000</v>
      </c>
      <c r="F75" s="32">
        <v>82000</v>
      </c>
      <c r="G75" s="31" t="s">
        <v>216</v>
      </c>
    </row>
    <row r="76" spans="2:7" x14ac:dyDescent="0.3">
      <c r="B76" s="27">
        <v>71</v>
      </c>
      <c r="C76" s="28" t="s">
        <v>406</v>
      </c>
      <c r="D76" s="27">
        <v>1</v>
      </c>
      <c r="E76" s="29">
        <v>79900</v>
      </c>
      <c r="F76" s="29">
        <v>79900</v>
      </c>
      <c r="G76" s="28" t="s">
        <v>172</v>
      </c>
    </row>
    <row r="77" spans="2:7" x14ac:dyDescent="0.3">
      <c r="B77" s="30">
        <v>72</v>
      </c>
      <c r="C77" s="31" t="s">
        <v>323</v>
      </c>
      <c r="D77" s="30">
        <v>1</v>
      </c>
      <c r="E77" s="32">
        <v>78400</v>
      </c>
      <c r="F77" s="32">
        <v>78400</v>
      </c>
      <c r="G77" s="31" t="s">
        <v>194</v>
      </c>
    </row>
    <row r="78" spans="2:7" x14ac:dyDescent="0.3">
      <c r="B78" s="27">
        <v>73</v>
      </c>
      <c r="C78" s="28" t="s">
        <v>195</v>
      </c>
      <c r="D78" s="27">
        <v>1</v>
      </c>
      <c r="E78" s="29">
        <v>76800</v>
      </c>
      <c r="F78" s="29">
        <v>76800</v>
      </c>
      <c r="G78" s="28" t="s">
        <v>194</v>
      </c>
    </row>
    <row r="79" spans="2:7" x14ac:dyDescent="0.3">
      <c r="B79" s="30">
        <v>74</v>
      </c>
      <c r="C79" s="31" t="s">
        <v>250</v>
      </c>
      <c r="D79" s="30">
        <v>1</v>
      </c>
      <c r="E79" s="32">
        <v>74000</v>
      </c>
      <c r="F79" s="32">
        <v>74000</v>
      </c>
      <c r="G79" s="31" t="s">
        <v>103</v>
      </c>
    </row>
    <row r="80" spans="2:7" x14ac:dyDescent="0.3">
      <c r="B80" s="27">
        <v>75</v>
      </c>
      <c r="C80" s="28" t="s">
        <v>416</v>
      </c>
      <c r="D80" s="27">
        <v>1</v>
      </c>
      <c r="E80" s="29">
        <v>73200</v>
      </c>
      <c r="F80" s="29">
        <v>73200</v>
      </c>
      <c r="G80" s="28" t="s">
        <v>216</v>
      </c>
    </row>
    <row r="81" spans="2:7" x14ac:dyDescent="0.3">
      <c r="B81" s="30">
        <v>76</v>
      </c>
      <c r="C81" s="31" t="s">
        <v>173</v>
      </c>
      <c r="D81" s="30">
        <v>1</v>
      </c>
      <c r="E81" s="32">
        <v>72000</v>
      </c>
      <c r="F81" s="32">
        <v>72000</v>
      </c>
      <c r="G81" s="31" t="s">
        <v>172</v>
      </c>
    </row>
    <row r="82" spans="2:7" x14ac:dyDescent="0.3">
      <c r="B82" s="27">
        <v>77</v>
      </c>
      <c r="C82" s="28" t="s">
        <v>234</v>
      </c>
      <c r="D82" s="27">
        <v>1</v>
      </c>
      <c r="E82" s="29">
        <v>67500</v>
      </c>
      <c r="F82" s="29">
        <v>67500</v>
      </c>
      <c r="G82" s="28" t="s">
        <v>145</v>
      </c>
    </row>
    <row r="83" spans="2:7" x14ac:dyDescent="0.3">
      <c r="B83" s="30">
        <v>78</v>
      </c>
      <c r="C83" s="31" t="s">
        <v>340</v>
      </c>
      <c r="D83" s="30">
        <v>1</v>
      </c>
      <c r="E83" s="32">
        <v>66750</v>
      </c>
      <c r="F83" s="32">
        <v>66750</v>
      </c>
      <c r="G83" s="31" t="s">
        <v>69</v>
      </c>
    </row>
    <row r="84" spans="2:7" x14ac:dyDescent="0.3">
      <c r="B84" s="27">
        <v>79</v>
      </c>
      <c r="C84" s="28" t="s">
        <v>365</v>
      </c>
      <c r="D84" s="27">
        <v>1</v>
      </c>
      <c r="E84" s="29">
        <v>59000</v>
      </c>
      <c r="F84" s="29">
        <v>59000</v>
      </c>
      <c r="G84" s="28" t="s">
        <v>145</v>
      </c>
    </row>
    <row r="85" spans="2:7" x14ac:dyDescent="0.3">
      <c r="B85" s="33" t="s">
        <v>39</v>
      </c>
      <c r="C85" s="33" t="s">
        <v>458</v>
      </c>
      <c r="D85" s="33" t="s">
        <v>459</v>
      </c>
    </row>
    <row r="86" spans="2:7" x14ac:dyDescent="0.3">
      <c r="B86" s="34" t="s">
        <v>123</v>
      </c>
      <c r="C86" s="34">
        <v>473500</v>
      </c>
      <c r="D86" s="34">
        <v>2</v>
      </c>
    </row>
    <row r="87" spans="2:7" x14ac:dyDescent="0.3">
      <c r="B87" s="34" t="s">
        <v>12</v>
      </c>
      <c r="C87" s="34">
        <v>434800</v>
      </c>
      <c r="D87" s="34">
        <v>3</v>
      </c>
    </row>
    <row r="88" spans="2:7" x14ac:dyDescent="0.3">
      <c r="B88" s="34" t="s">
        <v>311</v>
      </c>
      <c r="C88" s="34">
        <v>361400</v>
      </c>
      <c r="D88" s="34">
        <v>2</v>
      </c>
    </row>
    <row r="89" spans="2:7" x14ac:dyDescent="0.3">
      <c r="B89" s="34" t="s">
        <v>306</v>
      </c>
      <c r="C89" s="34">
        <v>351600</v>
      </c>
      <c r="D89" s="34">
        <v>2</v>
      </c>
    </row>
    <row r="90" spans="2:7" x14ac:dyDescent="0.3">
      <c r="B90" s="34" t="s">
        <v>48</v>
      </c>
      <c r="C90" s="34">
        <v>328800</v>
      </c>
      <c r="D90" s="34">
        <v>2</v>
      </c>
    </row>
    <row r="91" spans="2:7" x14ac:dyDescent="0.3">
      <c r="B91" s="34" t="s">
        <v>119</v>
      </c>
      <c r="C91" s="34">
        <v>317200.5</v>
      </c>
      <c r="D91" s="34">
        <v>2</v>
      </c>
    </row>
    <row r="92" spans="2:7" x14ac:dyDescent="0.3">
      <c r="B92" s="34" t="s">
        <v>57</v>
      </c>
      <c r="C92" s="34">
        <v>313900</v>
      </c>
      <c r="D92" s="34">
        <v>2</v>
      </c>
    </row>
    <row r="93" spans="2:7" x14ac:dyDescent="0.3">
      <c r="B93" s="34" t="s">
        <v>98</v>
      </c>
      <c r="C93" s="34">
        <v>303750</v>
      </c>
      <c r="D93" s="34">
        <v>2</v>
      </c>
    </row>
    <row r="94" spans="2:7" x14ac:dyDescent="0.3">
      <c r="B94" s="34" t="s">
        <v>277</v>
      </c>
      <c r="C94" s="34">
        <v>286500</v>
      </c>
      <c r="D94" s="34">
        <v>1</v>
      </c>
    </row>
    <row r="95" spans="2:7" x14ac:dyDescent="0.3">
      <c r="B95" s="34" t="s">
        <v>296</v>
      </c>
      <c r="C95" s="34">
        <v>284500</v>
      </c>
      <c r="D95" s="34">
        <v>2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2"/>
  <sheetViews>
    <sheetView showGridLines="0" topLeftCell="A10" zoomScaleNormal="100" workbookViewId="0"/>
  </sheetViews>
  <sheetFormatPr defaultColWidth="8.6640625" defaultRowHeight="14.4" x14ac:dyDescent="0.3"/>
  <cols>
    <col min="2" max="2" width="10" customWidth="1"/>
    <col min="3" max="3" width="14" customWidth="1"/>
    <col min="4" max="4" width="16" customWidth="1"/>
    <col min="5" max="5" width="14" customWidth="1"/>
    <col min="6" max="6" width="18" customWidth="1"/>
  </cols>
  <sheetData>
    <row r="2" spans="2:6" ht="34.5" customHeight="1" x14ac:dyDescent="0.3">
      <c r="B2" s="7" t="s">
        <v>460</v>
      </c>
      <c r="C2" s="7"/>
      <c r="D2" s="7"/>
      <c r="E2" s="7"/>
      <c r="F2" s="7"/>
    </row>
    <row r="5" spans="2:6" ht="24.75" customHeight="1" x14ac:dyDescent="0.3">
      <c r="B5" s="18" t="s">
        <v>35</v>
      </c>
      <c r="C5" s="18" t="s">
        <v>457</v>
      </c>
      <c r="D5" s="18" t="s">
        <v>3</v>
      </c>
      <c r="E5" s="18" t="s">
        <v>7</v>
      </c>
      <c r="F5" s="18" t="s">
        <v>461</v>
      </c>
    </row>
    <row r="6" spans="2:6" x14ac:dyDescent="0.3">
      <c r="B6" s="19">
        <v>2020</v>
      </c>
      <c r="C6" s="27">
        <v>4</v>
      </c>
      <c r="D6" s="29">
        <v>377300</v>
      </c>
      <c r="E6" s="29">
        <v>94325</v>
      </c>
      <c r="F6" s="27" t="s">
        <v>462</v>
      </c>
    </row>
    <row r="7" spans="2:6" x14ac:dyDescent="0.3">
      <c r="B7" s="23">
        <v>2021</v>
      </c>
      <c r="C7" s="30">
        <v>12</v>
      </c>
      <c r="D7" s="32">
        <v>858950</v>
      </c>
      <c r="E7" s="32">
        <v>71579.166666666701</v>
      </c>
      <c r="F7" s="35">
        <f t="shared" ref="F7:F12" si="0">(C7-C6)/C6*100</f>
        <v>200</v>
      </c>
    </row>
    <row r="8" spans="2:6" x14ac:dyDescent="0.3">
      <c r="B8" s="19">
        <v>2022</v>
      </c>
      <c r="C8" s="27">
        <v>16</v>
      </c>
      <c r="D8" s="29">
        <v>1517600</v>
      </c>
      <c r="E8" s="29">
        <v>94850</v>
      </c>
      <c r="F8" s="36">
        <f t="shared" si="0"/>
        <v>33.333333333333329</v>
      </c>
    </row>
    <row r="9" spans="2:6" x14ac:dyDescent="0.3">
      <c r="B9" s="23">
        <v>2023</v>
      </c>
      <c r="C9" s="30">
        <v>19</v>
      </c>
      <c r="D9" s="32">
        <v>2142350.5</v>
      </c>
      <c r="E9" s="32">
        <v>112755.289473684</v>
      </c>
      <c r="F9" s="35">
        <f t="shared" si="0"/>
        <v>18.75</v>
      </c>
    </row>
    <row r="10" spans="2:6" x14ac:dyDescent="0.3">
      <c r="B10" s="19">
        <v>2024</v>
      </c>
      <c r="C10" s="27">
        <v>29</v>
      </c>
      <c r="D10" s="29">
        <v>4740800</v>
      </c>
      <c r="E10" s="29">
        <v>163475.862068966</v>
      </c>
      <c r="F10" s="36">
        <f t="shared" si="0"/>
        <v>52.631578947368418</v>
      </c>
    </row>
    <row r="11" spans="2:6" x14ac:dyDescent="0.3">
      <c r="B11" s="23">
        <v>2025</v>
      </c>
      <c r="C11" s="30">
        <v>16</v>
      </c>
      <c r="D11" s="32">
        <v>2525100</v>
      </c>
      <c r="E11" s="32">
        <v>157818.75</v>
      </c>
      <c r="F11" s="35">
        <f t="shared" si="0"/>
        <v>-44.827586206896555</v>
      </c>
    </row>
    <row r="12" spans="2:6" x14ac:dyDescent="0.3">
      <c r="B12" s="19">
        <v>2026</v>
      </c>
      <c r="C12" s="27">
        <v>4</v>
      </c>
      <c r="D12" s="29">
        <v>665700</v>
      </c>
      <c r="E12" s="29">
        <v>166425</v>
      </c>
      <c r="F12" s="36">
        <f t="shared" si="0"/>
        <v>-75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45"/>
  <sheetViews>
    <sheetView showGridLines="0" topLeftCell="A10" zoomScaleNormal="100" workbookViewId="0"/>
  </sheetViews>
  <sheetFormatPr defaultColWidth="8.6640625" defaultRowHeight="14.4" x14ac:dyDescent="0.3"/>
  <cols>
    <col min="2" max="2" width="10" customWidth="1"/>
    <col min="3" max="3" width="24" customWidth="1"/>
    <col min="4" max="4" width="14" customWidth="1"/>
    <col min="5" max="5" width="16" customWidth="1"/>
    <col min="6" max="6" width="14" customWidth="1"/>
    <col min="7" max="7" width="12" customWidth="1"/>
  </cols>
  <sheetData>
    <row r="2" spans="2:7" ht="34.5" customHeight="1" x14ac:dyDescent="0.3">
      <c r="B2" s="7" t="s">
        <v>463</v>
      </c>
      <c r="C2" s="7"/>
      <c r="D2" s="7"/>
      <c r="E2" s="7"/>
      <c r="F2" s="7"/>
      <c r="G2" s="7"/>
    </row>
    <row r="5" spans="2:7" ht="24.75" customHeight="1" x14ac:dyDescent="0.3">
      <c r="B5" s="18" t="s">
        <v>456</v>
      </c>
      <c r="C5" s="18" t="s">
        <v>34</v>
      </c>
      <c r="D5" s="18" t="s">
        <v>457</v>
      </c>
      <c r="E5" s="18" t="s">
        <v>3</v>
      </c>
      <c r="F5" s="18" t="s">
        <v>7</v>
      </c>
      <c r="G5" s="18" t="s">
        <v>464</v>
      </c>
    </row>
    <row r="6" spans="2:7" x14ac:dyDescent="0.3">
      <c r="B6" s="37">
        <v>1</v>
      </c>
      <c r="C6" s="38" t="s">
        <v>178</v>
      </c>
      <c r="D6" s="37">
        <v>4</v>
      </c>
      <c r="E6" s="39">
        <v>360100</v>
      </c>
      <c r="F6" s="39">
        <v>90025</v>
      </c>
      <c r="G6" s="40">
        <f t="shared" ref="G6:G45" si="0">D6/SUM($D$6:$D$45)*100</f>
        <v>4</v>
      </c>
    </row>
    <row r="7" spans="2:7" x14ac:dyDescent="0.3">
      <c r="B7" s="37">
        <v>2</v>
      </c>
      <c r="C7" s="38" t="s">
        <v>216</v>
      </c>
      <c r="D7" s="37">
        <v>4</v>
      </c>
      <c r="E7" s="39">
        <v>302000</v>
      </c>
      <c r="F7" s="39">
        <v>75500</v>
      </c>
      <c r="G7" s="40">
        <f t="shared" si="0"/>
        <v>4</v>
      </c>
    </row>
    <row r="8" spans="2:7" x14ac:dyDescent="0.3">
      <c r="B8" s="37">
        <v>3</v>
      </c>
      <c r="C8" s="38" t="s">
        <v>172</v>
      </c>
      <c r="D8" s="37">
        <v>4</v>
      </c>
      <c r="E8" s="39">
        <v>304400</v>
      </c>
      <c r="F8" s="39">
        <v>76100</v>
      </c>
      <c r="G8" s="40">
        <f t="shared" si="0"/>
        <v>4</v>
      </c>
    </row>
    <row r="9" spans="2:7" x14ac:dyDescent="0.3">
      <c r="B9" s="30">
        <v>4</v>
      </c>
      <c r="C9" s="31" t="s">
        <v>77</v>
      </c>
      <c r="D9" s="30">
        <v>4</v>
      </c>
      <c r="E9" s="32">
        <v>514300</v>
      </c>
      <c r="F9" s="32">
        <v>128575</v>
      </c>
      <c r="G9" s="35">
        <f t="shared" si="0"/>
        <v>4</v>
      </c>
    </row>
    <row r="10" spans="2:7" x14ac:dyDescent="0.3">
      <c r="B10" s="27">
        <v>5</v>
      </c>
      <c r="C10" s="28" t="s">
        <v>97</v>
      </c>
      <c r="D10" s="27">
        <v>4</v>
      </c>
      <c r="E10" s="29">
        <v>373650</v>
      </c>
      <c r="F10" s="29">
        <v>93412.5</v>
      </c>
      <c r="G10" s="36">
        <f t="shared" si="0"/>
        <v>4</v>
      </c>
    </row>
    <row r="11" spans="2:7" x14ac:dyDescent="0.3">
      <c r="B11" s="30">
        <v>6</v>
      </c>
      <c r="C11" s="31" t="s">
        <v>62</v>
      </c>
      <c r="D11" s="30">
        <v>4</v>
      </c>
      <c r="E11" s="32">
        <v>436250</v>
      </c>
      <c r="F11" s="32">
        <v>109062.5</v>
      </c>
      <c r="G11" s="35">
        <f t="shared" si="0"/>
        <v>4</v>
      </c>
    </row>
    <row r="12" spans="2:7" x14ac:dyDescent="0.3">
      <c r="B12" s="27">
        <v>7</v>
      </c>
      <c r="C12" s="28" t="s">
        <v>103</v>
      </c>
      <c r="D12" s="27">
        <v>3</v>
      </c>
      <c r="E12" s="29">
        <v>219400</v>
      </c>
      <c r="F12" s="29">
        <v>73133.333333333299</v>
      </c>
      <c r="G12" s="36">
        <f t="shared" si="0"/>
        <v>3</v>
      </c>
    </row>
    <row r="13" spans="2:7" x14ac:dyDescent="0.3">
      <c r="B13" s="30">
        <v>8</v>
      </c>
      <c r="C13" s="31" t="s">
        <v>46</v>
      </c>
      <c r="D13" s="30">
        <v>3</v>
      </c>
      <c r="E13" s="32">
        <v>228300</v>
      </c>
      <c r="F13" s="32">
        <v>76100</v>
      </c>
      <c r="G13" s="35">
        <f t="shared" si="0"/>
        <v>3</v>
      </c>
    </row>
    <row r="14" spans="2:7" x14ac:dyDescent="0.3">
      <c r="B14" s="27">
        <v>9</v>
      </c>
      <c r="C14" s="28" t="s">
        <v>111</v>
      </c>
      <c r="D14" s="27">
        <v>3</v>
      </c>
      <c r="E14" s="29">
        <v>285400</v>
      </c>
      <c r="F14" s="29">
        <v>95133.333333333299</v>
      </c>
      <c r="G14" s="36">
        <f t="shared" si="0"/>
        <v>3</v>
      </c>
    </row>
    <row r="15" spans="2:7" x14ac:dyDescent="0.3">
      <c r="B15" s="30">
        <v>10</v>
      </c>
      <c r="C15" s="31" t="s">
        <v>189</v>
      </c>
      <c r="D15" s="30">
        <v>3</v>
      </c>
      <c r="E15" s="32">
        <v>429500</v>
      </c>
      <c r="F15" s="32">
        <v>143166.66666666701</v>
      </c>
      <c r="G15" s="35">
        <f t="shared" si="0"/>
        <v>3</v>
      </c>
    </row>
    <row r="16" spans="2:7" x14ac:dyDescent="0.3">
      <c r="B16" s="27">
        <v>11</v>
      </c>
      <c r="C16" s="28" t="s">
        <v>117</v>
      </c>
      <c r="D16" s="27">
        <v>3</v>
      </c>
      <c r="E16" s="29">
        <v>475700.5</v>
      </c>
      <c r="F16" s="29">
        <v>158566.83333333299</v>
      </c>
      <c r="G16" s="36">
        <f t="shared" si="0"/>
        <v>3</v>
      </c>
    </row>
    <row r="17" spans="2:7" x14ac:dyDescent="0.3">
      <c r="B17" s="30">
        <v>12</v>
      </c>
      <c r="C17" s="31" t="s">
        <v>69</v>
      </c>
      <c r="D17" s="30">
        <v>3</v>
      </c>
      <c r="E17" s="32">
        <v>205450</v>
      </c>
      <c r="F17" s="32">
        <v>68483.333333333299</v>
      </c>
      <c r="G17" s="35">
        <f t="shared" si="0"/>
        <v>3</v>
      </c>
    </row>
    <row r="18" spans="2:7" x14ac:dyDescent="0.3">
      <c r="B18" s="27">
        <v>13</v>
      </c>
      <c r="C18" s="28" t="s">
        <v>55</v>
      </c>
      <c r="D18" s="27">
        <v>3</v>
      </c>
      <c r="E18" s="29">
        <v>726300</v>
      </c>
      <c r="F18" s="29">
        <v>242100</v>
      </c>
      <c r="G18" s="36">
        <f t="shared" si="0"/>
        <v>3</v>
      </c>
    </row>
    <row r="19" spans="2:7" x14ac:dyDescent="0.3">
      <c r="B19" s="30">
        <v>14</v>
      </c>
      <c r="C19" s="31" t="s">
        <v>194</v>
      </c>
      <c r="D19" s="30">
        <v>3</v>
      </c>
      <c r="E19" s="32">
        <v>239700</v>
      </c>
      <c r="F19" s="32">
        <v>79900</v>
      </c>
      <c r="G19" s="35">
        <f t="shared" si="0"/>
        <v>3</v>
      </c>
    </row>
    <row r="20" spans="2:7" x14ac:dyDescent="0.3">
      <c r="B20" s="27">
        <v>15</v>
      </c>
      <c r="C20" s="28" t="s">
        <v>122</v>
      </c>
      <c r="D20" s="27">
        <v>3</v>
      </c>
      <c r="E20" s="29">
        <v>697500</v>
      </c>
      <c r="F20" s="29">
        <v>232500</v>
      </c>
      <c r="G20" s="36">
        <f t="shared" si="0"/>
        <v>3</v>
      </c>
    </row>
    <row r="21" spans="2:7" x14ac:dyDescent="0.3">
      <c r="B21" s="30">
        <v>16</v>
      </c>
      <c r="C21" s="31" t="s">
        <v>182</v>
      </c>
      <c r="D21" s="30">
        <v>3</v>
      </c>
      <c r="E21" s="32">
        <v>810600</v>
      </c>
      <c r="F21" s="32">
        <v>270200</v>
      </c>
      <c r="G21" s="35">
        <f t="shared" si="0"/>
        <v>3</v>
      </c>
    </row>
    <row r="22" spans="2:7" x14ac:dyDescent="0.3">
      <c r="B22" s="27">
        <v>17</v>
      </c>
      <c r="C22" s="28" t="s">
        <v>145</v>
      </c>
      <c r="D22" s="27">
        <v>3</v>
      </c>
      <c r="E22" s="29">
        <v>185400</v>
      </c>
      <c r="F22" s="29">
        <v>61800</v>
      </c>
      <c r="G22" s="36">
        <f t="shared" si="0"/>
        <v>3</v>
      </c>
    </row>
    <row r="23" spans="2:7" x14ac:dyDescent="0.3">
      <c r="B23" s="30">
        <v>18</v>
      </c>
      <c r="C23" s="31" t="s">
        <v>160</v>
      </c>
      <c r="D23" s="30">
        <v>3</v>
      </c>
      <c r="E23" s="32">
        <v>289450</v>
      </c>
      <c r="F23" s="32">
        <v>96483.333333333299</v>
      </c>
      <c r="G23" s="35">
        <f t="shared" si="0"/>
        <v>3</v>
      </c>
    </row>
    <row r="24" spans="2:7" x14ac:dyDescent="0.3">
      <c r="B24" s="27">
        <v>19</v>
      </c>
      <c r="C24" s="28" t="s">
        <v>133</v>
      </c>
      <c r="D24" s="27">
        <v>3</v>
      </c>
      <c r="E24" s="29">
        <v>592800</v>
      </c>
      <c r="F24" s="29">
        <v>197600</v>
      </c>
      <c r="G24" s="36">
        <f t="shared" si="0"/>
        <v>3</v>
      </c>
    </row>
    <row r="25" spans="2:7" x14ac:dyDescent="0.3">
      <c r="B25" s="30">
        <v>20</v>
      </c>
      <c r="C25" s="31" t="s">
        <v>244</v>
      </c>
      <c r="D25" s="30">
        <v>2</v>
      </c>
      <c r="E25" s="32">
        <v>231000</v>
      </c>
      <c r="F25" s="32">
        <v>115500</v>
      </c>
      <c r="G25" s="35">
        <f t="shared" si="0"/>
        <v>2</v>
      </c>
    </row>
    <row r="26" spans="2:7" x14ac:dyDescent="0.3">
      <c r="B26" s="27">
        <v>21</v>
      </c>
      <c r="C26" s="28" t="s">
        <v>149</v>
      </c>
      <c r="D26" s="27">
        <v>2</v>
      </c>
      <c r="E26" s="29">
        <v>333000</v>
      </c>
      <c r="F26" s="29">
        <v>166500</v>
      </c>
      <c r="G26" s="36">
        <f t="shared" si="0"/>
        <v>2</v>
      </c>
    </row>
    <row r="27" spans="2:7" x14ac:dyDescent="0.3">
      <c r="B27" s="30">
        <v>22</v>
      </c>
      <c r="C27" s="31" t="s">
        <v>199</v>
      </c>
      <c r="D27" s="30">
        <v>2</v>
      </c>
      <c r="E27" s="32">
        <v>350000</v>
      </c>
      <c r="F27" s="32">
        <v>175000</v>
      </c>
      <c r="G27" s="35">
        <f t="shared" si="0"/>
        <v>2</v>
      </c>
    </row>
    <row r="28" spans="2:7" x14ac:dyDescent="0.3">
      <c r="B28" s="27">
        <v>23</v>
      </c>
      <c r="C28" s="28" t="s">
        <v>225</v>
      </c>
      <c r="D28" s="27">
        <v>2</v>
      </c>
      <c r="E28" s="29">
        <v>251400</v>
      </c>
      <c r="F28" s="29">
        <v>125700</v>
      </c>
      <c r="G28" s="36">
        <f t="shared" si="0"/>
        <v>2</v>
      </c>
    </row>
    <row r="29" spans="2:7" x14ac:dyDescent="0.3">
      <c r="B29" s="30">
        <v>24</v>
      </c>
      <c r="C29" s="31" t="s">
        <v>140</v>
      </c>
      <c r="D29" s="30">
        <v>2</v>
      </c>
      <c r="E29" s="32">
        <v>259800</v>
      </c>
      <c r="F29" s="32">
        <v>129900</v>
      </c>
      <c r="G29" s="35">
        <f t="shared" si="0"/>
        <v>2</v>
      </c>
    </row>
    <row r="30" spans="2:7" x14ac:dyDescent="0.3">
      <c r="B30" s="27">
        <v>25</v>
      </c>
      <c r="C30" s="28" t="s">
        <v>238</v>
      </c>
      <c r="D30" s="27">
        <v>2</v>
      </c>
      <c r="E30" s="29">
        <v>236800</v>
      </c>
      <c r="F30" s="29">
        <v>118400</v>
      </c>
      <c r="G30" s="36">
        <f t="shared" si="0"/>
        <v>2</v>
      </c>
    </row>
    <row r="31" spans="2:7" x14ac:dyDescent="0.3">
      <c r="B31" s="30">
        <v>26</v>
      </c>
      <c r="C31" s="31" t="s">
        <v>128</v>
      </c>
      <c r="D31" s="30">
        <v>2</v>
      </c>
      <c r="E31" s="32">
        <v>266000</v>
      </c>
      <c r="F31" s="32">
        <v>133000</v>
      </c>
      <c r="G31" s="35">
        <f t="shared" si="0"/>
        <v>2</v>
      </c>
    </row>
    <row r="32" spans="2:7" x14ac:dyDescent="0.3">
      <c r="B32" s="27">
        <v>27</v>
      </c>
      <c r="C32" s="28" t="s">
        <v>84</v>
      </c>
      <c r="D32" s="27">
        <v>2</v>
      </c>
      <c r="E32" s="29">
        <v>205800</v>
      </c>
      <c r="F32" s="29">
        <v>102900</v>
      </c>
      <c r="G32" s="36">
        <f t="shared" si="0"/>
        <v>2</v>
      </c>
    </row>
    <row r="33" spans="2:7" x14ac:dyDescent="0.3">
      <c r="B33" s="30">
        <v>28</v>
      </c>
      <c r="C33" s="31" t="s">
        <v>211</v>
      </c>
      <c r="D33" s="30">
        <v>2</v>
      </c>
      <c r="E33" s="32">
        <v>217750</v>
      </c>
      <c r="F33" s="32">
        <v>108875</v>
      </c>
      <c r="G33" s="35">
        <f t="shared" si="0"/>
        <v>2</v>
      </c>
    </row>
    <row r="34" spans="2:7" x14ac:dyDescent="0.3">
      <c r="B34" s="27">
        <v>29</v>
      </c>
      <c r="C34" s="28" t="s">
        <v>295</v>
      </c>
      <c r="D34" s="27">
        <v>2</v>
      </c>
      <c r="E34" s="29">
        <v>284500</v>
      </c>
      <c r="F34" s="29">
        <v>142250</v>
      </c>
      <c r="G34" s="36">
        <f t="shared" si="0"/>
        <v>2</v>
      </c>
    </row>
    <row r="35" spans="2:7" x14ac:dyDescent="0.3">
      <c r="B35" s="30">
        <v>30</v>
      </c>
      <c r="C35" s="31" t="s">
        <v>205</v>
      </c>
      <c r="D35" s="30">
        <v>2</v>
      </c>
      <c r="E35" s="32">
        <v>241650</v>
      </c>
      <c r="F35" s="32">
        <v>120825</v>
      </c>
      <c r="G35" s="35">
        <f t="shared" si="0"/>
        <v>2</v>
      </c>
    </row>
    <row r="36" spans="2:7" x14ac:dyDescent="0.3">
      <c r="B36" s="27">
        <v>31</v>
      </c>
      <c r="C36" s="28" t="s">
        <v>91</v>
      </c>
      <c r="D36" s="27">
        <v>2</v>
      </c>
      <c r="E36" s="29">
        <v>200900</v>
      </c>
      <c r="F36" s="29">
        <v>100450</v>
      </c>
      <c r="G36" s="36">
        <f t="shared" si="0"/>
        <v>2</v>
      </c>
    </row>
    <row r="37" spans="2:7" x14ac:dyDescent="0.3">
      <c r="B37" s="30">
        <v>32</v>
      </c>
      <c r="C37" s="31" t="s">
        <v>166</v>
      </c>
      <c r="D37" s="30">
        <v>2</v>
      </c>
      <c r="E37" s="32">
        <v>315250</v>
      </c>
      <c r="F37" s="32">
        <v>157625</v>
      </c>
      <c r="G37" s="35">
        <f t="shared" si="0"/>
        <v>2</v>
      </c>
    </row>
    <row r="38" spans="2:7" x14ac:dyDescent="0.3">
      <c r="B38" s="27">
        <v>33</v>
      </c>
      <c r="C38" s="28" t="s">
        <v>221</v>
      </c>
      <c r="D38" s="27">
        <v>2</v>
      </c>
      <c r="E38" s="29">
        <v>432000</v>
      </c>
      <c r="F38" s="29">
        <v>216000</v>
      </c>
      <c r="G38" s="36">
        <f t="shared" si="0"/>
        <v>2</v>
      </c>
    </row>
    <row r="39" spans="2:7" x14ac:dyDescent="0.3">
      <c r="B39" s="30">
        <v>34</v>
      </c>
      <c r="C39" s="31" t="s">
        <v>272</v>
      </c>
      <c r="D39" s="30">
        <v>2</v>
      </c>
      <c r="E39" s="32">
        <v>273500</v>
      </c>
      <c r="F39" s="32">
        <v>136750</v>
      </c>
      <c r="G39" s="35">
        <f t="shared" si="0"/>
        <v>2</v>
      </c>
    </row>
    <row r="40" spans="2:7" x14ac:dyDescent="0.3">
      <c r="B40" s="27">
        <v>35</v>
      </c>
      <c r="C40" s="28" t="s">
        <v>155</v>
      </c>
      <c r="D40" s="27">
        <v>2</v>
      </c>
      <c r="E40" s="29">
        <v>246400</v>
      </c>
      <c r="F40" s="29">
        <v>123200</v>
      </c>
      <c r="G40" s="36">
        <f t="shared" si="0"/>
        <v>2</v>
      </c>
    </row>
    <row r="41" spans="2:7" x14ac:dyDescent="0.3">
      <c r="B41" s="30">
        <v>36</v>
      </c>
      <c r="C41" s="31" t="s">
        <v>379</v>
      </c>
      <c r="D41" s="30">
        <v>1</v>
      </c>
      <c r="E41" s="32">
        <v>91500</v>
      </c>
      <c r="F41" s="32">
        <v>91500</v>
      </c>
      <c r="G41" s="35">
        <f t="shared" si="0"/>
        <v>1</v>
      </c>
    </row>
    <row r="42" spans="2:7" x14ac:dyDescent="0.3">
      <c r="B42" s="27">
        <v>37</v>
      </c>
      <c r="C42" s="28" t="s">
        <v>399</v>
      </c>
      <c r="D42" s="27">
        <v>1</v>
      </c>
      <c r="E42" s="29">
        <v>82750</v>
      </c>
      <c r="F42" s="29">
        <v>82750</v>
      </c>
      <c r="G42" s="36">
        <f t="shared" si="0"/>
        <v>1</v>
      </c>
    </row>
    <row r="43" spans="2:7" x14ac:dyDescent="0.3">
      <c r="B43" s="30">
        <v>38</v>
      </c>
      <c r="C43" s="31" t="s">
        <v>305</v>
      </c>
      <c r="D43" s="30">
        <v>1</v>
      </c>
      <c r="E43" s="32">
        <v>146800</v>
      </c>
      <c r="F43" s="32">
        <v>146800</v>
      </c>
      <c r="G43" s="35">
        <f t="shared" si="0"/>
        <v>1</v>
      </c>
    </row>
    <row r="44" spans="2:7" x14ac:dyDescent="0.3">
      <c r="B44" s="27">
        <v>39</v>
      </c>
      <c r="C44" s="28" t="s">
        <v>276</v>
      </c>
      <c r="D44" s="27">
        <v>1</v>
      </c>
      <c r="E44" s="29">
        <v>286500</v>
      </c>
      <c r="F44" s="29">
        <v>286500</v>
      </c>
      <c r="G44" s="36">
        <f t="shared" si="0"/>
        <v>1</v>
      </c>
    </row>
    <row r="45" spans="2:7" x14ac:dyDescent="0.3">
      <c r="B45" s="30">
        <v>40</v>
      </c>
      <c r="C45" s="31" t="s">
        <v>255</v>
      </c>
      <c r="D45" s="30">
        <v>1</v>
      </c>
      <c r="E45" s="32">
        <v>198300</v>
      </c>
      <c r="F45" s="32">
        <v>198300</v>
      </c>
      <c r="G45" s="35">
        <f t="shared" si="0"/>
        <v>1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35"/>
  <sheetViews>
    <sheetView showGridLines="0" topLeftCell="A13" zoomScaleNormal="100" workbookViewId="0"/>
  </sheetViews>
  <sheetFormatPr defaultColWidth="8.6640625" defaultRowHeight="14.4" x14ac:dyDescent="0.3"/>
  <cols>
    <col min="2" max="2" width="20" customWidth="1"/>
    <col min="3" max="3" width="14" customWidth="1"/>
    <col min="4" max="4" width="16" customWidth="1"/>
    <col min="5" max="5" width="14" customWidth="1"/>
    <col min="6" max="6" width="16" customWidth="1"/>
  </cols>
  <sheetData>
    <row r="2" spans="2:6" ht="34.5" customHeight="1" x14ac:dyDescent="0.3">
      <c r="B2" s="7" t="s">
        <v>465</v>
      </c>
      <c r="C2" s="7"/>
      <c r="D2" s="7"/>
      <c r="E2" s="7"/>
      <c r="F2" s="7"/>
    </row>
    <row r="5" spans="2:6" ht="24.75" customHeight="1" x14ac:dyDescent="0.3">
      <c r="B5" s="18" t="s">
        <v>43</v>
      </c>
      <c r="C5" s="18" t="s">
        <v>457</v>
      </c>
      <c r="D5" s="18" t="s">
        <v>3</v>
      </c>
      <c r="E5" s="18" t="s">
        <v>466</v>
      </c>
      <c r="F5" s="18" t="s">
        <v>467</v>
      </c>
    </row>
    <row r="6" spans="2:6" x14ac:dyDescent="0.3">
      <c r="B6" s="28" t="s">
        <v>52</v>
      </c>
      <c r="C6" s="27">
        <v>41</v>
      </c>
      <c r="D6" s="29">
        <v>5078800.5</v>
      </c>
      <c r="E6" s="36">
        <f t="shared" ref="E6:E15" si="0">C6/SUM($C$6:$C$15)*100</f>
        <v>41</v>
      </c>
      <c r="F6" s="41" t="s">
        <v>468</v>
      </c>
    </row>
    <row r="7" spans="2:6" x14ac:dyDescent="0.3">
      <c r="B7" s="31" t="s">
        <v>74</v>
      </c>
      <c r="C7" s="30">
        <v>17</v>
      </c>
      <c r="D7" s="32">
        <v>2347900</v>
      </c>
      <c r="E7" s="35">
        <f t="shared" si="0"/>
        <v>17</v>
      </c>
      <c r="F7" s="42" t="s">
        <v>469</v>
      </c>
    </row>
    <row r="8" spans="2:6" x14ac:dyDescent="0.3">
      <c r="B8" s="28" t="s">
        <v>67</v>
      </c>
      <c r="C8" s="27">
        <v>15</v>
      </c>
      <c r="D8" s="29">
        <v>1989000</v>
      </c>
      <c r="E8" s="36">
        <f t="shared" si="0"/>
        <v>15</v>
      </c>
      <c r="F8" s="43" t="s">
        <v>470</v>
      </c>
    </row>
    <row r="9" spans="2:6" x14ac:dyDescent="0.3">
      <c r="B9" s="31" t="s">
        <v>88</v>
      </c>
      <c r="C9" s="30">
        <v>7</v>
      </c>
      <c r="D9" s="32">
        <v>625250</v>
      </c>
      <c r="E9" s="35">
        <f t="shared" si="0"/>
        <v>7.0000000000000009</v>
      </c>
      <c r="F9" s="44" t="s">
        <v>471</v>
      </c>
    </row>
    <row r="10" spans="2:6" x14ac:dyDescent="0.3">
      <c r="B10" s="28" t="s">
        <v>137</v>
      </c>
      <c r="C10" s="27">
        <v>5</v>
      </c>
      <c r="D10" s="29">
        <v>918600</v>
      </c>
      <c r="E10" s="36">
        <f t="shared" si="0"/>
        <v>5</v>
      </c>
      <c r="F10" s="43" t="s">
        <v>470</v>
      </c>
    </row>
    <row r="11" spans="2:6" x14ac:dyDescent="0.3">
      <c r="B11" s="31" t="s">
        <v>186</v>
      </c>
      <c r="C11" s="30">
        <v>4</v>
      </c>
      <c r="D11" s="32">
        <v>658800</v>
      </c>
      <c r="E11" s="35">
        <f t="shared" si="0"/>
        <v>4</v>
      </c>
      <c r="F11" s="45" t="s">
        <v>470</v>
      </c>
    </row>
    <row r="12" spans="2:6" x14ac:dyDescent="0.3">
      <c r="B12" s="28" t="s">
        <v>108</v>
      </c>
      <c r="C12" s="27">
        <v>4</v>
      </c>
      <c r="D12" s="29">
        <v>351200</v>
      </c>
      <c r="E12" s="36">
        <f t="shared" si="0"/>
        <v>4</v>
      </c>
      <c r="F12" s="43" t="s">
        <v>470</v>
      </c>
    </row>
    <row r="13" spans="2:6" x14ac:dyDescent="0.3">
      <c r="B13" s="31" t="s">
        <v>100</v>
      </c>
      <c r="C13" s="30">
        <v>4</v>
      </c>
      <c r="D13" s="32">
        <v>433850</v>
      </c>
      <c r="E13" s="35">
        <f t="shared" si="0"/>
        <v>4</v>
      </c>
      <c r="F13" s="42" t="s">
        <v>469</v>
      </c>
    </row>
    <row r="14" spans="2:6" x14ac:dyDescent="0.3">
      <c r="B14" s="28" t="s">
        <v>223</v>
      </c>
      <c r="C14" s="27">
        <v>2</v>
      </c>
      <c r="D14" s="29">
        <v>346000</v>
      </c>
      <c r="E14" s="36">
        <f t="shared" si="0"/>
        <v>2</v>
      </c>
      <c r="F14" s="46" t="s">
        <v>469</v>
      </c>
    </row>
    <row r="15" spans="2:6" x14ac:dyDescent="0.3">
      <c r="B15" s="31" t="s">
        <v>325</v>
      </c>
      <c r="C15" s="30">
        <v>1</v>
      </c>
      <c r="D15" s="32">
        <v>78400</v>
      </c>
      <c r="E15" s="35">
        <f t="shared" si="0"/>
        <v>1</v>
      </c>
      <c r="F15" s="45" t="s">
        <v>470</v>
      </c>
    </row>
    <row r="25" spans="2:3" x14ac:dyDescent="0.3">
      <c r="B25" s="33" t="s">
        <v>467</v>
      </c>
      <c r="C25" s="33" t="s">
        <v>459</v>
      </c>
    </row>
    <row r="26" spans="2:3" x14ac:dyDescent="0.3">
      <c r="B26" s="34" t="s">
        <v>52</v>
      </c>
      <c r="C26" s="34">
        <v>41</v>
      </c>
    </row>
    <row r="27" spans="2:3" x14ac:dyDescent="0.3">
      <c r="B27" s="34" t="s">
        <v>74</v>
      </c>
      <c r="C27" s="34">
        <v>17</v>
      </c>
    </row>
    <row r="28" spans="2:3" x14ac:dyDescent="0.3">
      <c r="B28" s="34" t="s">
        <v>67</v>
      </c>
      <c r="C28" s="34">
        <v>15</v>
      </c>
    </row>
    <row r="29" spans="2:3" x14ac:dyDescent="0.3">
      <c r="B29" s="34" t="s">
        <v>88</v>
      </c>
      <c r="C29" s="34">
        <v>7</v>
      </c>
    </row>
    <row r="30" spans="2:3" x14ac:dyDescent="0.3">
      <c r="B30" s="34" t="s">
        <v>137</v>
      </c>
      <c r="C30" s="34">
        <v>5</v>
      </c>
    </row>
    <row r="31" spans="2:3" x14ac:dyDescent="0.3">
      <c r="B31" s="34" t="s">
        <v>186</v>
      </c>
      <c r="C31" s="34">
        <v>4</v>
      </c>
    </row>
    <row r="32" spans="2:3" x14ac:dyDescent="0.3">
      <c r="B32" s="34" t="s">
        <v>108</v>
      </c>
      <c r="C32" s="34">
        <v>4</v>
      </c>
    </row>
    <row r="33" spans="2:3" x14ac:dyDescent="0.3">
      <c r="B33" s="34" t="s">
        <v>100</v>
      </c>
      <c r="C33" s="34">
        <v>4</v>
      </c>
    </row>
    <row r="34" spans="2:3" x14ac:dyDescent="0.3">
      <c r="B34" s="34" t="s">
        <v>223</v>
      </c>
      <c r="C34" s="34">
        <v>2</v>
      </c>
    </row>
    <row r="35" spans="2:3" x14ac:dyDescent="0.3">
      <c r="B35" s="34" t="s">
        <v>325</v>
      </c>
      <c r="C35" s="34">
        <v>1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40"/>
  <sheetViews>
    <sheetView showGridLines="0" topLeftCell="A4" zoomScaleNormal="100" workbookViewId="0">
      <selection activeCell="K9" sqref="K9"/>
    </sheetView>
  </sheetViews>
  <sheetFormatPr defaultColWidth="8.6640625" defaultRowHeight="14.4" x14ac:dyDescent="0.3"/>
  <cols>
    <col min="2" max="5" width="12" customWidth="1"/>
    <col min="6" max="6" width="14" customWidth="1"/>
    <col min="7" max="7" width="12" customWidth="1"/>
    <col min="8" max="8" width="22" customWidth="1"/>
    <col min="9" max="9" width="14" customWidth="1"/>
  </cols>
  <sheetData>
    <row r="2" spans="2:9" ht="39.75" customHeight="1" x14ac:dyDescent="0.3">
      <c r="B2" s="5" t="s">
        <v>472</v>
      </c>
      <c r="C2" s="5"/>
      <c r="D2" s="5"/>
      <c r="E2" s="5"/>
      <c r="F2" s="5"/>
      <c r="G2" s="5"/>
      <c r="H2" s="5"/>
    </row>
    <row r="3" spans="2:9" ht="21.75" customHeight="1" x14ac:dyDescent="0.3">
      <c r="B3" s="4" t="s">
        <v>473</v>
      </c>
      <c r="C3" s="4"/>
      <c r="D3" s="4"/>
      <c r="E3" s="4"/>
      <c r="F3" s="4"/>
      <c r="G3" s="4"/>
      <c r="H3" s="4"/>
    </row>
    <row r="5" spans="2:9" ht="34.5" customHeight="1" x14ac:dyDescent="0.3">
      <c r="B5" s="3" t="s">
        <v>474</v>
      </c>
      <c r="C5" s="3"/>
      <c r="D5" s="2">
        <v>100</v>
      </c>
      <c r="E5" s="2"/>
      <c r="F5" s="3" t="s">
        <v>475</v>
      </c>
      <c r="G5" s="3"/>
      <c r="H5" s="47" t="s">
        <v>62</v>
      </c>
    </row>
    <row r="6" spans="2:9" ht="15" customHeight="1" x14ac:dyDescent="0.3">
      <c r="B6" s="3"/>
      <c r="C6" s="3"/>
      <c r="D6" s="2"/>
      <c r="E6" s="2"/>
      <c r="F6" s="3"/>
      <c r="G6" s="3"/>
      <c r="H6" s="48" t="s">
        <v>476</v>
      </c>
    </row>
    <row r="7" spans="2:9" ht="19.5" customHeight="1" x14ac:dyDescent="0.3">
      <c r="B7" s="1" t="s">
        <v>477</v>
      </c>
      <c r="C7" s="1"/>
      <c r="D7" s="59" t="s">
        <v>478</v>
      </c>
      <c r="E7" s="59"/>
      <c r="F7" s="1" t="s">
        <v>479</v>
      </c>
      <c r="G7" s="1"/>
      <c r="H7" s="49" t="s">
        <v>480</v>
      </c>
    </row>
    <row r="9" spans="2:9" x14ac:dyDescent="0.3">
      <c r="G9" s="50" t="s">
        <v>481</v>
      </c>
    </row>
    <row r="10" spans="2:9" x14ac:dyDescent="0.3">
      <c r="G10" s="51" t="s">
        <v>34</v>
      </c>
      <c r="H10" s="51" t="s">
        <v>458</v>
      </c>
      <c r="I10" s="51" t="s">
        <v>459</v>
      </c>
    </row>
    <row r="11" spans="2:9" x14ac:dyDescent="0.3">
      <c r="G11" s="52" t="s">
        <v>182</v>
      </c>
      <c r="H11" s="53">
        <v>810600</v>
      </c>
      <c r="I11" s="54">
        <v>3</v>
      </c>
    </row>
    <row r="12" spans="2:9" x14ac:dyDescent="0.3">
      <c r="G12" s="55" t="s">
        <v>55</v>
      </c>
      <c r="H12" s="56">
        <v>726300</v>
      </c>
      <c r="I12" s="57">
        <v>3</v>
      </c>
    </row>
    <row r="13" spans="2:9" x14ac:dyDescent="0.3">
      <c r="G13" s="52" t="s">
        <v>122</v>
      </c>
      <c r="H13" s="53">
        <v>697500</v>
      </c>
      <c r="I13" s="54">
        <v>3</v>
      </c>
    </row>
    <row r="14" spans="2:9" x14ac:dyDescent="0.3">
      <c r="G14" s="55" t="s">
        <v>133</v>
      </c>
      <c r="H14" s="56">
        <v>592800</v>
      </c>
      <c r="I14" s="57">
        <v>3</v>
      </c>
    </row>
    <row r="15" spans="2:9" x14ac:dyDescent="0.3">
      <c r="G15" s="52" t="s">
        <v>77</v>
      </c>
      <c r="H15" s="53">
        <v>514300</v>
      </c>
      <c r="I15" s="54">
        <v>4</v>
      </c>
    </row>
    <row r="18" spans="2:9" x14ac:dyDescent="0.3">
      <c r="G18" s="50" t="s">
        <v>482</v>
      </c>
    </row>
    <row r="19" spans="2:9" x14ac:dyDescent="0.3">
      <c r="G19" s="51" t="s">
        <v>40</v>
      </c>
      <c r="H19" s="51" t="s">
        <v>459</v>
      </c>
      <c r="I19" s="51" t="s">
        <v>458</v>
      </c>
    </row>
    <row r="20" spans="2:9" x14ac:dyDescent="0.3">
      <c r="G20" s="54" t="s">
        <v>80</v>
      </c>
      <c r="H20" s="54">
        <v>16</v>
      </c>
      <c r="I20" s="53">
        <v>1973350</v>
      </c>
    </row>
    <row r="21" spans="2:9" x14ac:dyDescent="0.3">
      <c r="G21" s="57" t="s">
        <v>65</v>
      </c>
      <c r="H21" s="57">
        <v>14</v>
      </c>
      <c r="I21" s="56">
        <v>2023400.5</v>
      </c>
    </row>
    <row r="22" spans="2:9" x14ac:dyDescent="0.3">
      <c r="G22" s="54" t="s">
        <v>113</v>
      </c>
      <c r="H22" s="54">
        <v>7</v>
      </c>
      <c r="I22" s="53">
        <v>695950</v>
      </c>
    </row>
    <row r="23" spans="2:9" x14ac:dyDescent="0.3">
      <c r="G23" s="57" t="s">
        <v>86</v>
      </c>
      <c r="H23" s="57">
        <v>6</v>
      </c>
      <c r="I23" s="56">
        <v>566600</v>
      </c>
    </row>
    <row r="24" spans="2:9" x14ac:dyDescent="0.3">
      <c r="G24" s="54" t="s">
        <v>157</v>
      </c>
      <c r="H24" s="54">
        <v>5</v>
      </c>
      <c r="I24" s="53">
        <v>510100</v>
      </c>
    </row>
    <row r="30" spans="2:9" x14ac:dyDescent="0.3">
      <c r="B30" s="33" t="s">
        <v>34</v>
      </c>
      <c r="C30" s="33" t="s">
        <v>459</v>
      </c>
    </row>
    <row r="31" spans="2:9" x14ac:dyDescent="0.3">
      <c r="B31" s="34" t="s">
        <v>178</v>
      </c>
      <c r="C31" s="34">
        <v>4</v>
      </c>
    </row>
    <row r="32" spans="2:9" x14ac:dyDescent="0.3">
      <c r="B32" s="34" t="s">
        <v>216</v>
      </c>
      <c r="C32" s="34">
        <v>4</v>
      </c>
    </row>
    <row r="33" spans="2:3" x14ac:dyDescent="0.3">
      <c r="B33" s="34" t="s">
        <v>172</v>
      </c>
      <c r="C33" s="34">
        <v>4</v>
      </c>
    </row>
    <row r="34" spans="2:3" x14ac:dyDescent="0.3">
      <c r="B34" s="34" t="s">
        <v>77</v>
      </c>
      <c r="C34" s="34">
        <v>4</v>
      </c>
    </row>
    <row r="35" spans="2:3" x14ac:dyDescent="0.3">
      <c r="B35" s="34" t="s">
        <v>483</v>
      </c>
      <c r="C35" s="34">
        <v>4</v>
      </c>
    </row>
    <row r="36" spans="2:3" x14ac:dyDescent="0.3">
      <c r="B36" s="34" t="s">
        <v>62</v>
      </c>
      <c r="C36" s="34">
        <v>4</v>
      </c>
    </row>
    <row r="37" spans="2:3" x14ac:dyDescent="0.3">
      <c r="B37" s="34" t="s">
        <v>103</v>
      </c>
      <c r="C37" s="34">
        <v>3</v>
      </c>
    </row>
    <row r="38" spans="2:3" x14ac:dyDescent="0.3">
      <c r="B38" s="34" t="s">
        <v>46</v>
      </c>
      <c r="C38" s="34">
        <v>3</v>
      </c>
    </row>
    <row r="39" spans="2:3" x14ac:dyDescent="0.3">
      <c r="B39" s="34" t="s">
        <v>111</v>
      </c>
      <c r="C39" s="34">
        <v>3</v>
      </c>
    </row>
    <row r="40" spans="2:3" x14ac:dyDescent="0.3">
      <c r="B40" s="34" t="s">
        <v>189</v>
      </c>
      <c r="C40" s="34">
        <v>3</v>
      </c>
    </row>
  </sheetData>
  <mergeCells count="8">
    <mergeCell ref="B7:C7"/>
    <mergeCell ref="D7:E7"/>
    <mergeCell ref="F7:G7"/>
    <mergeCell ref="B2:H2"/>
    <mergeCell ref="B3:H3"/>
    <mergeCell ref="B5:C6"/>
    <mergeCell ref="D5:E6"/>
    <mergeCell ref="F5:G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"/>
  <sheetViews>
    <sheetView showGridLines="0" zoomScaleNormal="100" workbookViewId="0">
      <selection activeCell="M30" sqref="M30"/>
    </sheetView>
  </sheetViews>
  <sheetFormatPr defaultColWidth="8.6640625" defaultRowHeight="14.4" x14ac:dyDescent="0.3"/>
  <sheetData>
    <row r="1" spans="1:12" x14ac:dyDescent="0.3">
      <c r="A1" s="58" t="s">
        <v>34</v>
      </c>
      <c r="B1" s="58" t="s">
        <v>459</v>
      </c>
      <c r="D1" s="58" t="s">
        <v>35</v>
      </c>
      <c r="E1" s="58" t="s">
        <v>459</v>
      </c>
      <c r="G1" s="58" t="s">
        <v>467</v>
      </c>
      <c r="H1" s="58" t="s">
        <v>459</v>
      </c>
      <c r="J1" s="58" t="s">
        <v>39</v>
      </c>
      <c r="K1" s="58" t="s">
        <v>458</v>
      </c>
      <c r="L1" s="58" t="s">
        <v>459</v>
      </c>
    </row>
    <row r="2" spans="1:12" x14ac:dyDescent="0.3">
      <c r="A2" t="s">
        <v>178</v>
      </c>
      <c r="B2">
        <v>4</v>
      </c>
      <c r="D2">
        <v>2020</v>
      </c>
      <c r="E2">
        <v>4</v>
      </c>
      <c r="G2" t="s">
        <v>52</v>
      </c>
      <c r="H2">
        <v>41</v>
      </c>
      <c r="J2" t="s">
        <v>123</v>
      </c>
      <c r="K2">
        <v>473500</v>
      </c>
      <c r="L2">
        <v>2</v>
      </c>
    </row>
    <row r="3" spans="1:12" x14ac:dyDescent="0.3">
      <c r="A3" t="s">
        <v>216</v>
      </c>
      <c r="B3">
        <v>4</v>
      </c>
      <c r="D3">
        <v>2021</v>
      </c>
      <c r="E3">
        <v>12</v>
      </c>
      <c r="G3" t="s">
        <v>74</v>
      </c>
      <c r="H3">
        <v>17</v>
      </c>
      <c r="J3" t="s">
        <v>12</v>
      </c>
      <c r="K3">
        <v>434800</v>
      </c>
      <c r="L3">
        <v>3</v>
      </c>
    </row>
    <row r="4" spans="1:12" x14ac:dyDescent="0.3">
      <c r="A4" t="s">
        <v>172</v>
      </c>
      <c r="B4">
        <v>4</v>
      </c>
      <c r="D4">
        <v>2022</v>
      </c>
      <c r="E4">
        <v>16</v>
      </c>
      <c r="G4" t="s">
        <v>67</v>
      </c>
      <c r="H4">
        <v>15</v>
      </c>
      <c r="J4" t="s">
        <v>311</v>
      </c>
      <c r="K4">
        <v>361400</v>
      </c>
      <c r="L4">
        <v>2</v>
      </c>
    </row>
    <row r="5" spans="1:12" x14ac:dyDescent="0.3">
      <c r="A5" t="s">
        <v>77</v>
      </c>
      <c r="B5">
        <v>4</v>
      </c>
      <c r="D5">
        <v>2023</v>
      </c>
      <c r="E5">
        <v>19</v>
      </c>
      <c r="G5" t="s">
        <v>88</v>
      </c>
      <c r="H5">
        <v>7</v>
      </c>
      <c r="J5" t="s">
        <v>306</v>
      </c>
      <c r="K5">
        <v>351600</v>
      </c>
      <c r="L5">
        <v>2</v>
      </c>
    </row>
    <row r="6" spans="1:12" x14ac:dyDescent="0.3">
      <c r="A6" t="s">
        <v>97</v>
      </c>
      <c r="B6">
        <v>4</v>
      </c>
      <c r="D6">
        <v>2024</v>
      </c>
      <c r="E6">
        <v>29</v>
      </c>
      <c r="G6" t="s">
        <v>137</v>
      </c>
      <c r="H6">
        <v>5</v>
      </c>
      <c r="J6" t="s">
        <v>48</v>
      </c>
      <c r="K6">
        <v>328800</v>
      </c>
      <c r="L6">
        <v>2</v>
      </c>
    </row>
    <row r="7" spans="1:12" x14ac:dyDescent="0.3">
      <c r="A7" t="s">
        <v>62</v>
      </c>
      <c r="B7">
        <v>4</v>
      </c>
      <c r="D7">
        <v>2025</v>
      </c>
      <c r="E7">
        <v>16</v>
      </c>
      <c r="G7" t="s">
        <v>186</v>
      </c>
      <c r="H7">
        <v>4</v>
      </c>
      <c r="J7" t="s">
        <v>119</v>
      </c>
      <c r="K7">
        <v>317200.5</v>
      </c>
      <c r="L7">
        <v>2</v>
      </c>
    </row>
    <row r="8" spans="1:12" x14ac:dyDescent="0.3">
      <c r="A8" t="s">
        <v>103</v>
      </c>
      <c r="B8">
        <v>3</v>
      </c>
      <c r="D8">
        <v>2026</v>
      </c>
      <c r="E8">
        <v>4</v>
      </c>
      <c r="G8" t="s">
        <v>108</v>
      </c>
      <c r="H8">
        <v>4</v>
      </c>
      <c r="J8" t="s">
        <v>57</v>
      </c>
      <c r="K8">
        <v>313900</v>
      </c>
      <c r="L8">
        <v>2</v>
      </c>
    </row>
    <row r="9" spans="1:12" x14ac:dyDescent="0.3">
      <c r="A9" t="s">
        <v>46</v>
      </c>
      <c r="B9">
        <v>3</v>
      </c>
      <c r="G9" t="s">
        <v>100</v>
      </c>
      <c r="H9">
        <v>4</v>
      </c>
      <c r="J9" t="s">
        <v>98</v>
      </c>
      <c r="K9">
        <v>303750</v>
      </c>
      <c r="L9">
        <v>2</v>
      </c>
    </row>
    <row r="10" spans="1:12" x14ac:dyDescent="0.3">
      <c r="A10" t="s">
        <v>111</v>
      </c>
      <c r="B10">
        <v>3</v>
      </c>
      <c r="G10" t="s">
        <v>223</v>
      </c>
      <c r="H10">
        <v>2</v>
      </c>
      <c r="J10" t="s">
        <v>277</v>
      </c>
      <c r="K10">
        <v>286500</v>
      </c>
      <c r="L10">
        <v>1</v>
      </c>
    </row>
    <row r="11" spans="1:12" x14ac:dyDescent="0.3">
      <c r="A11" t="s">
        <v>189</v>
      </c>
      <c r="B11">
        <v>3</v>
      </c>
      <c r="G11" t="s">
        <v>325</v>
      </c>
      <c r="H11">
        <v>1</v>
      </c>
      <c r="J11" t="s">
        <v>296</v>
      </c>
      <c r="K11">
        <v>284500</v>
      </c>
      <c r="L11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Cover</vt:lpstr>
      <vt:lpstr>Dados Tratados</vt:lpstr>
      <vt:lpstr>Análise por Cidade</vt:lpstr>
      <vt:lpstr>Análise por Ano</vt:lpstr>
      <vt:lpstr>Análise por Modelo</vt:lpstr>
      <vt:lpstr>Status de Entrega</vt:lpstr>
      <vt:lpstr>Resumo Executivo</vt:lpstr>
      <vt:lpstr>_ChartData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Igor Cardoso</cp:lastModifiedBy>
  <cp:revision>1</cp:revision>
  <dcterms:created xsi:type="dcterms:W3CDTF">2026-05-29T21:25:07Z</dcterms:created>
  <dcterms:modified xsi:type="dcterms:W3CDTF">2026-05-29T21:31:47Z</dcterms:modified>
  <dc:language>en-US</dc:language>
</cp:coreProperties>
</file>